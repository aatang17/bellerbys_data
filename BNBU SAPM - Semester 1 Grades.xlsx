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ilvialyu/Desktop/Bellerbys/"/>
    </mc:Choice>
  </mc:AlternateContent>
  <xr:revisionPtr revIDLastSave="0" documentId="13_ncr:1_{B294D237-753F-D34E-897F-E12A4E0EC923}" xr6:coauthVersionLast="47" xr6:coauthVersionMax="47" xr10:uidLastSave="{00000000-0000-0000-0000-000000000000}"/>
  <bookViews>
    <workbookView xWindow="0" yWindow="720" windowWidth="29400" windowHeight="18400" xr2:uid="{5A85BE18-A719-4A9E-961C-8731A15951C7}"/>
  </bookViews>
  <sheets>
    <sheet name="Sep 2025" sheetId="1" r:id="rId1"/>
    <sheet name="Dec 2025" sheetId="2" r:id="rId2"/>
  </sheets>
  <definedNames>
    <definedName name="_xlnm._FilterDatabase" localSheetId="1" hidden="1">'Dec 2025'!$A$1:$CO$33</definedName>
    <definedName name="_xlnm._FilterDatabase" localSheetId="0" hidden="1">'Sep 2025'!$A$1:$EL$33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5" i="1" l="1"/>
  <c r="U26" i="1"/>
  <c r="U27" i="1"/>
  <c r="U28" i="1"/>
  <c r="U29" i="1"/>
  <c r="U30" i="1"/>
  <c r="U31" i="1"/>
  <c r="U32" i="1"/>
  <c r="U33" i="1"/>
  <c r="U24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5" i="1"/>
  <c r="F40" i="2"/>
  <c r="D45" i="2"/>
  <c r="M45" i="2"/>
  <c r="J45" i="2"/>
  <c r="K45" i="2" s="1"/>
  <c r="I45" i="2"/>
  <c r="F45" i="2"/>
  <c r="G45" i="2" s="1"/>
  <c r="E45" i="2"/>
  <c r="C45" i="2"/>
  <c r="M44" i="2"/>
  <c r="M46" i="2" s="1"/>
  <c r="J44" i="2"/>
  <c r="I44" i="2"/>
  <c r="I46" i="2" s="1"/>
  <c r="F44" i="2"/>
  <c r="D44" i="2"/>
  <c r="C44" i="2"/>
  <c r="C46" i="2" s="1"/>
  <c r="L40" i="2"/>
  <c r="M40" i="2" s="1"/>
  <c r="J40" i="2"/>
  <c r="K40" i="2" s="1"/>
  <c r="H40" i="2"/>
  <c r="I40" i="2" s="1"/>
  <c r="G40" i="2"/>
  <c r="D40" i="2"/>
  <c r="E40" i="2" s="1"/>
  <c r="B40" i="2"/>
  <c r="C40" i="2" s="1"/>
  <c r="L39" i="2"/>
  <c r="J39" i="2"/>
  <c r="H39" i="2"/>
  <c r="F39" i="2"/>
  <c r="D39" i="2"/>
  <c r="B39" i="2"/>
  <c r="M39" i="1"/>
  <c r="M41" i="1" s="1"/>
  <c r="I40" i="1"/>
  <c r="J40" i="1" s="1"/>
  <c r="I39" i="1"/>
  <c r="M40" i="1"/>
  <c r="K44" i="1"/>
  <c r="K46" i="1" s="1"/>
  <c r="C44" i="1"/>
  <c r="C46" i="1" s="1"/>
  <c r="C45" i="1"/>
  <c r="K45" i="1"/>
  <c r="L45" i="1" s="1"/>
  <c r="K40" i="1"/>
  <c r="L40" i="1" s="1"/>
  <c r="K39" i="1"/>
  <c r="G45" i="1"/>
  <c r="H45" i="1" s="1"/>
  <c r="G44" i="1"/>
  <c r="G46" i="1" s="1"/>
  <c r="E45" i="1"/>
  <c r="F45" i="1" s="1"/>
  <c r="E44" i="1"/>
  <c r="F44" i="1" s="1"/>
  <c r="J45" i="1"/>
  <c r="J44" i="1"/>
  <c r="J46" i="1" s="1"/>
  <c r="G39" i="1"/>
  <c r="G41" i="1" s="1"/>
  <c r="B40" i="1"/>
  <c r="C40" i="1" s="1"/>
  <c r="B39" i="1"/>
  <c r="C39" i="1" s="1"/>
  <c r="G40" i="1"/>
  <c r="H40" i="1" s="1"/>
  <c r="E40" i="1"/>
  <c r="F40" i="1" s="1"/>
  <c r="E39" i="1"/>
  <c r="E41" i="1" s="1"/>
  <c r="L39" i="1" l="1"/>
  <c r="L41" i="1" s="1"/>
  <c r="K41" i="1"/>
  <c r="J39" i="1"/>
  <c r="J41" i="1" s="1"/>
  <c r="I41" i="1"/>
  <c r="B41" i="2"/>
  <c r="C39" i="2"/>
  <c r="C41" i="2" s="1"/>
  <c r="D41" i="2"/>
  <c r="E39" i="2"/>
  <c r="E41" i="2" s="1"/>
  <c r="F41" i="2"/>
  <c r="G39" i="2"/>
  <c r="G41" i="2" s="1"/>
  <c r="H41" i="2"/>
  <c r="I39" i="2"/>
  <c r="I41" i="2" s="1"/>
  <c r="J41" i="2"/>
  <c r="K39" i="2"/>
  <c r="K41" i="2" s="1"/>
  <c r="L41" i="2"/>
  <c r="M39" i="2"/>
  <c r="M41" i="2" s="1"/>
  <c r="D46" i="2"/>
  <c r="E44" i="2"/>
  <c r="E46" i="2" s="1"/>
  <c r="F46" i="2"/>
  <c r="G44" i="2"/>
  <c r="G46" i="2" s="1"/>
  <c r="J46" i="2"/>
  <c r="K44" i="2"/>
  <c r="K46" i="2" s="1"/>
  <c r="E46" i="1"/>
  <c r="L44" i="1"/>
  <c r="L46" i="1" s="1"/>
  <c r="F46" i="1"/>
  <c r="H44" i="1"/>
  <c r="H46" i="1" s="1"/>
  <c r="H39" i="1"/>
  <c r="H41" i="1" s="1"/>
  <c r="B41" i="1"/>
  <c r="F39" i="1"/>
  <c r="F41" i="1" s="1"/>
  <c r="C4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tc={57EC12B6-881D-4724-8E07-62925FC20D0B}</author>
    <author>tc={D6684E04-0E52-425D-9601-2097039EA458}</author>
    <author>tc={B1A5568F-438E-4DFC-9B8F-8BACB125F93D}</author>
    <author>tc={AEB1F014-2286-4B3E-9F2A-8B542778F895}</author>
  </authors>
  <commentList>
    <comment ref="DR14" authorId="0" shapeId="0" xr:uid="{57EC12B6-881D-4724-8E07-62925FC20D0B}">
      <text>
        <t>[线程批注]
你的Excel版本可读取此线程批注; 但如果在更新版本的Excel中打开文件，则对批注所作的任何改动都将被删除。了解详细信息: https://go.microsoft.com/fwlink/?linkid=870924
注释:
    Original Mark 58 AMP recommended 0 mark</t>
      </text>
    </comment>
    <comment ref="DR24" authorId="1" shapeId="0" xr:uid="{D6684E04-0E52-425D-9601-2097039EA458}">
      <text>
        <t>[线程批注]
你的Excel版本可读取此线程批注; 但如果在更新版本的Excel中打开文件，则对批注所作的任何改动都将被删除。了解详细信息: https://go.microsoft.com/fwlink/?linkid=870924
注释:
    Original Mark 78 AMP recomended reduction by 10%</t>
      </text>
    </comment>
    <comment ref="DR31" authorId="2" shapeId="0" xr:uid="{B1A5568F-438E-4DFC-9B8F-8BACB125F93D}">
      <text>
        <t>[线程批注]
你的Excel版本可读取此线程批注; 但如果在更新版本的Excel中打开文件，则对批注所作的任何改动都将被删除。了解详细信息: https://go.microsoft.com/fwlink/?linkid=870924
注释:
    Orignial Mark 51 AMP recommended 0 mark</t>
      </text>
    </comment>
    <comment ref="EB31" authorId="3" shapeId="0" xr:uid="{AEB1F014-2286-4B3E-9F2A-8B542778F895}">
      <text>
        <t>[线程批注]
你的Excel版本可读取此线程批注; 但如果在更新版本的Excel中打开文件，则对批注所作的任何改动都将被删除。了解详细信息: https://go.microsoft.com/fwlink/?linkid=870924
注释:
    Original Mark 57 AMP recomended 0 mark</t>
      </text>
    </comment>
  </commentList>
</comments>
</file>

<file path=xl/sharedStrings.xml><?xml version="1.0" encoding="utf-8"?>
<sst xmlns="http://schemas.openxmlformats.org/spreadsheetml/2006/main" count="623" uniqueCount="214">
  <si>
    <t>Partnerships &amp; Liaison Department
Academic Team
Academic SAPM Tracker</t>
  </si>
  <si>
    <t>General Information</t>
  </si>
  <si>
    <t>QAE Requirement</t>
  </si>
  <si>
    <t>AES Semester 2</t>
  </si>
  <si>
    <t>Total</t>
  </si>
  <si>
    <t>Pass / Fail</t>
  </si>
  <si>
    <t>AES</t>
  </si>
  <si>
    <t>Business Management</t>
  </si>
  <si>
    <t>Mathematics</t>
  </si>
  <si>
    <t>Statistics with Project Skills</t>
  </si>
  <si>
    <t>Statistics</t>
  </si>
  <si>
    <t>Economics</t>
  </si>
  <si>
    <t>Physics</t>
  </si>
  <si>
    <t>Media Analysis</t>
  </si>
  <si>
    <t>Film Production</t>
  </si>
  <si>
    <t>Print and Digital News with Project Skills</t>
  </si>
  <si>
    <t>Print &amp; Digital News</t>
  </si>
  <si>
    <t>Formative 2</t>
  </si>
  <si>
    <t>Formative 3</t>
  </si>
  <si>
    <t>AES Mock Listening</t>
  </si>
  <si>
    <t>Listening (25%)</t>
  </si>
  <si>
    <t>Overall</t>
  </si>
  <si>
    <t>Formative 1</t>
  </si>
  <si>
    <t>Listening</t>
  </si>
  <si>
    <t>Seminar: Speaking</t>
  </si>
  <si>
    <t>Seminar: Reading</t>
  </si>
  <si>
    <t>Seminar: Writing</t>
  </si>
  <si>
    <t>ACE (12.5%)</t>
  </si>
  <si>
    <t>ACP (12.5%)</t>
  </si>
  <si>
    <t>Semester 1</t>
  </si>
  <si>
    <t>Semester 2</t>
  </si>
  <si>
    <t>Baseline</t>
  </si>
  <si>
    <t>Student ID</t>
  </si>
  <si>
    <t>First Name</t>
  </si>
  <si>
    <t>Last Name</t>
  </si>
  <si>
    <t>Country</t>
  </si>
  <si>
    <t>Delivery Partner</t>
  </si>
  <si>
    <t>Start of Sem</t>
  </si>
  <si>
    <t>Pathway</t>
  </si>
  <si>
    <t>Type of Programme</t>
  </si>
  <si>
    <t>Target Achieved (%)</t>
  </si>
  <si>
    <t>Target Met (Y/N)</t>
  </si>
  <si>
    <t>1a</t>
  </si>
  <si>
    <t>2a</t>
  </si>
  <si>
    <t>3a</t>
  </si>
  <si>
    <t>4a</t>
  </si>
  <si>
    <t>1b
(if necessary)</t>
  </si>
  <si>
    <t>2b
(if necessary)</t>
  </si>
  <si>
    <t>3b
(if necessary)</t>
  </si>
  <si>
    <t>4b
(if necessary)</t>
  </si>
  <si>
    <t>Individual Report (50%)</t>
  </si>
  <si>
    <r>
      <t xml:space="preserve">Individual Report R 
</t>
    </r>
    <r>
      <rPr>
        <b/>
        <sz val="9"/>
        <color theme="0"/>
        <rFont val="Aptos"/>
        <family val="2"/>
      </rPr>
      <t>(if necessary)</t>
    </r>
  </si>
  <si>
    <t>Unseen
(50%)</t>
  </si>
  <si>
    <r>
      <t xml:space="preserve">Unseen R
</t>
    </r>
    <r>
      <rPr>
        <b/>
        <sz val="9"/>
        <color theme="0"/>
        <rFont val="Aptos"/>
        <family val="2"/>
      </rPr>
      <t>(if necessary)</t>
    </r>
  </si>
  <si>
    <t>Unseen 1 (40%)</t>
  </si>
  <si>
    <r>
      <t xml:space="preserve">Unseen 1 R 
</t>
    </r>
    <r>
      <rPr>
        <b/>
        <sz val="9"/>
        <color theme="0"/>
        <rFont val="Aptos"/>
        <family val="2"/>
      </rPr>
      <t>(if necessary)</t>
    </r>
  </si>
  <si>
    <t>Unseen 2
(60%)</t>
  </si>
  <si>
    <r>
      <t xml:space="preserve">Unseen 2 R
</t>
    </r>
    <r>
      <rPr>
        <b/>
        <sz val="9"/>
        <color theme="0"/>
        <rFont val="Aptos"/>
        <family val="2"/>
      </rPr>
      <t>(if necessary)</t>
    </r>
  </si>
  <si>
    <t>Unseen  (40%)</t>
  </si>
  <si>
    <r>
      <t xml:space="preserve">Unseen R 
</t>
    </r>
    <r>
      <rPr>
        <b/>
        <sz val="9"/>
        <color theme="0"/>
        <rFont val="Aptos"/>
        <family val="2"/>
      </rPr>
      <t>(if necessary)</t>
    </r>
  </si>
  <si>
    <t>Group Work: Presentation or Vlog (30%)</t>
  </si>
  <si>
    <t>Individual sustainability Portfolio/Blog 
(30%)</t>
  </si>
  <si>
    <t>Unseen  (50%)</t>
  </si>
  <si>
    <t>Essay (50%)</t>
  </si>
  <si>
    <t>Lab 1</t>
  </si>
  <si>
    <t>Lab 2</t>
  </si>
  <si>
    <t>Unseen (50%)</t>
  </si>
  <si>
    <t>Portfolio of Programming Assignment (20%)</t>
  </si>
  <si>
    <t>Portfolio of Programming Assignment R</t>
  </si>
  <si>
    <t>Presentation (40%)</t>
  </si>
  <si>
    <r>
      <t xml:space="preserve">Presentation R 
</t>
    </r>
    <r>
      <rPr>
        <b/>
        <sz val="9"/>
        <color theme="0"/>
        <rFont val="Aptos"/>
        <family val="2"/>
      </rPr>
      <t>(if necessary)</t>
    </r>
  </si>
  <si>
    <t>Advertising Campaign Portfolio
(60%)</t>
  </si>
  <si>
    <r>
      <t xml:space="preserve">Advertising Campaign Portfolio R
</t>
    </r>
    <r>
      <rPr>
        <b/>
        <sz val="9"/>
        <color theme="0"/>
        <rFont val="Aptos"/>
        <family val="2"/>
      </rPr>
      <t>(if necessary)</t>
    </r>
  </si>
  <si>
    <t>Essay 
(40%)</t>
  </si>
  <si>
    <r>
      <t xml:space="preserve">Essay R 
</t>
    </r>
    <r>
      <rPr>
        <b/>
        <sz val="9"/>
        <color theme="0"/>
        <rFont val="Aptos"/>
        <family val="2"/>
      </rPr>
      <t>(if necessary)</t>
    </r>
  </si>
  <si>
    <t>Film Portfolio
(60%)</t>
  </si>
  <si>
    <r>
      <t xml:space="preserve">Film Portfolio R
</t>
    </r>
    <r>
      <rPr>
        <b/>
        <sz val="9"/>
        <color theme="0"/>
        <rFont val="Aptos"/>
        <family val="2"/>
      </rPr>
      <t>(if necessary)</t>
    </r>
  </si>
  <si>
    <t>Coursework  (40%)</t>
  </si>
  <si>
    <r>
      <t xml:space="preserve">Coursework R 
</t>
    </r>
    <r>
      <rPr>
        <b/>
        <sz val="9"/>
        <color theme="0"/>
        <rFont val="Aptos"/>
        <family val="2"/>
      </rPr>
      <t>(if necessary)</t>
    </r>
  </si>
  <si>
    <t>Group Work:  Vlog 
(30%)</t>
  </si>
  <si>
    <t>Group Work:  Vlog R</t>
  </si>
  <si>
    <t>Individual Digital Portfolio 
(30%)</t>
  </si>
  <si>
    <t>Individual Digital Portfolio R</t>
  </si>
  <si>
    <t>Jiaming</t>
  </si>
  <si>
    <t>Chen</t>
  </si>
  <si>
    <t>China</t>
  </si>
  <si>
    <t>Falcon</t>
  </si>
  <si>
    <t>Computing</t>
  </si>
  <si>
    <t>Standard</t>
  </si>
  <si>
    <t>Meiyi Miko</t>
  </si>
  <si>
    <t>CHAN</t>
  </si>
  <si>
    <t>Media</t>
  </si>
  <si>
    <t>Xi</t>
  </si>
  <si>
    <t>CHEN</t>
  </si>
  <si>
    <t>Biz Mgt</t>
  </si>
  <si>
    <t>NS</t>
  </si>
  <si>
    <t>Xuhongyu</t>
  </si>
  <si>
    <t>Yu</t>
  </si>
  <si>
    <t>Wenhui</t>
  </si>
  <si>
    <t>Du</t>
  </si>
  <si>
    <t>Zihao</t>
  </si>
  <si>
    <t>GUO</t>
  </si>
  <si>
    <t>Bihui</t>
  </si>
  <si>
    <t>HUANG</t>
  </si>
  <si>
    <t>Zichen</t>
  </si>
  <si>
    <t>JI</t>
  </si>
  <si>
    <t>Shingchi</t>
  </si>
  <si>
    <t>JIAN</t>
  </si>
  <si>
    <t>Ning</t>
  </si>
  <si>
    <t>LIAO</t>
  </si>
  <si>
    <t>Chunyu</t>
  </si>
  <si>
    <t>LIU</t>
  </si>
  <si>
    <t>Ziqi</t>
  </si>
  <si>
    <t>MA</t>
  </si>
  <si>
    <t>Yunnuoyan</t>
  </si>
  <si>
    <t>MAO</t>
  </si>
  <si>
    <t>Jinjia</t>
  </si>
  <si>
    <t>QIU</t>
  </si>
  <si>
    <t>Bocheng</t>
  </si>
  <si>
    <t>TANG</t>
  </si>
  <si>
    <t xml:space="preserve">Yiming </t>
  </si>
  <si>
    <t>TIAN</t>
  </si>
  <si>
    <t>Haoyu</t>
  </si>
  <si>
    <t>WANG</t>
  </si>
  <si>
    <t>ABS</t>
  </si>
  <si>
    <t>Ouwei</t>
  </si>
  <si>
    <t>Withdrawn</t>
  </si>
  <si>
    <t>Ruojun</t>
  </si>
  <si>
    <t>Yiran</t>
  </si>
  <si>
    <t>Lan</t>
  </si>
  <si>
    <t>XU</t>
  </si>
  <si>
    <t>Minglei</t>
  </si>
  <si>
    <t>YU</t>
  </si>
  <si>
    <t>Chuming</t>
  </si>
  <si>
    <t>ZHANG</t>
  </si>
  <si>
    <t>Xinyue</t>
  </si>
  <si>
    <t>HAM IONG</t>
  </si>
  <si>
    <t>Linghua</t>
  </si>
  <si>
    <t>ZENG</t>
  </si>
  <si>
    <t xml:space="preserve">Weiqi </t>
  </si>
  <si>
    <t>JIANG</t>
  </si>
  <si>
    <t>Yifei</t>
  </si>
  <si>
    <t>SUN</t>
  </si>
  <si>
    <t>FA1</t>
  </si>
  <si>
    <t>%</t>
  </si>
  <si>
    <t>Math</t>
  </si>
  <si>
    <t>Stats</t>
  </si>
  <si>
    <t>Phy</t>
  </si>
  <si>
    <t>Econs</t>
  </si>
  <si>
    <t>No. of Passes</t>
  </si>
  <si>
    <t>May not meet Progression Requirement</t>
  </si>
  <si>
    <t>No. of Failures</t>
  </si>
  <si>
    <t>FA2</t>
  </si>
  <si>
    <t>AES Semester 1</t>
  </si>
  <si>
    <t>Seminar: Speaking (12.5%)</t>
  </si>
  <si>
    <t>Seminar: Reading (25%)</t>
  </si>
  <si>
    <t>Seminar: Writing (12.5%)</t>
  </si>
  <si>
    <t>Chenshuo</t>
  </si>
  <si>
    <t>CHI</t>
  </si>
  <si>
    <t>BNBU</t>
  </si>
  <si>
    <t>Yuqi</t>
  </si>
  <si>
    <t>FU</t>
  </si>
  <si>
    <t>Luying</t>
  </si>
  <si>
    <t>Kangming</t>
  </si>
  <si>
    <t>KUANG</t>
  </si>
  <si>
    <t>Jiayue</t>
  </si>
  <si>
    <t>SHI</t>
  </si>
  <si>
    <t>Bingzhi</t>
  </si>
  <si>
    <t>Zongyuan</t>
  </si>
  <si>
    <t>Siu Ki</t>
  </si>
  <si>
    <t>Ng</t>
  </si>
  <si>
    <t>Xiyuan</t>
  </si>
  <si>
    <t>Yiqi</t>
  </si>
  <si>
    <t>YANG</t>
  </si>
  <si>
    <t>Jinglan</t>
  </si>
  <si>
    <t>ZHU</t>
  </si>
  <si>
    <t>Rongzheng</t>
  </si>
  <si>
    <t>LI</t>
  </si>
  <si>
    <t>Zhao</t>
  </si>
  <si>
    <t>Feng</t>
  </si>
  <si>
    <t>Lin</t>
  </si>
  <si>
    <t>Speaking</t>
  </si>
  <si>
    <t>Reading</t>
  </si>
  <si>
    <t>Writing</t>
  </si>
  <si>
    <t>English Name</t>
    <phoneticPr fontId="20" type="noConversion"/>
  </si>
  <si>
    <t>Jamie</t>
    <phoneticPr fontId="20" type="noConversion"/>
  </si>
  <si>
    <t>Miko</t>
    <phoneticPr fontId="20" type="noConversion"/>
  </si>
  <si>
    <t>Cici</t>
    <phoneticPr fontId="20" type="noConversion"/>
  </si>
  <si>
    <t>Chelsea</t>
    <phoneticPr fontId="20" type="noConversion"/>
  </si>
  <si>
    <t>Iris</t>
    <phoneticPr fontId="20" type="noConversion"/>
  </si>
  <si>
    <t>Elian</t>
    <phoneticPr fontId="20" type="noConversion"/>
  </si>
  <si>
    <t>Alan</t>
    <phoneticPr fontId="20" type="noConversion"/>
  </si>
  <si>
    <t>Benson</t>
    <phoneticPr fontId="20" type="noConversion"/>
  </si>
  <si>
    <t>Kevin</t>
    <phoneticPr fontId="20" type="noConversion"/>
  </si>
  <si>
    <t>William</t>
    <phoneticPr fontId="20" type="noConversion"/>
  </si>
  <si>
    <t>Rock</t>
    <phoneticPr fontId="20" type="noConversion"/>
  </si>
  <si>
    <t>Nicole</t>
    <phoneticPr fontId="20" type="noConversion"/>
  </si>
  <si>
    <t>Zoe</t>
    <phoneticPr fontId="20" type="noConversion"/>
  </si>
  <si>
    <t>Sylvia</t>
    <phoneticPr fontId="20" type="noConversion"/>
  </si>
  <si>
    <t>Jinjia</t>
    <phoneticPr fontId="20" type="noConversion"/>
  </si>
  <si>
    <t>Bo</t>
    <phoneticPr fontId="20" type="noConversion"/>
  </si>
  <si>
    <t>John</t>
    <phoneticPr fontId="20" type="noConversion"/>
  </si>
  <si>
    <t>David</t>
    <phoneticPr fontId="20" type="noConversion"/>
  </si>
  <si>
    <t>Vivian</t>
    <phoneticPr fontId="20" type="noConversion"/>
  </si>
  <si>
    <t>Vicky</t>
    <phoneticPr fontId="20" type="noConversion"/>
  </si>
  <si>
    <t>Dorean</t>
    <phoneticPr fontId="20" type="noConversion"/>
  </si>
  <si>
    <t>Lancy</t>
    <phoneticPr fontId="20" type="noConversion"/>
  </si>
  <si>
    <t>Miles</t>
    <phoneticPr fontId="20" type="noConversion"/>
  </si>
  <si>
    <t>Cimi</t>
    <phoneticPr fontId="20" type="noConversion"/>
  </si>
  <si>
    <t>Cathy</t>
    <phoneticPr fontId="20" type="noConversion"/>
  </si>
  <si>
    <t>Mulan</t>
    <phoneticPr fontId="20" type="noConversion"/>
  </si>
  <si>
    <t>Jason</t>
    <phoneticPr fontId="20" type="noConversion"/>
  </si>
  <si>
    <t>Angel</t>
    <phoneticPr fontId="20" type="noConversion"/>
  </si>
  <si>
    <t>Hannah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</si>
</sst>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10409]#,##0;\-#,##0"/>
    <numFmt numFmtId="177" formatCode="0.0"/>
  </numFmts>
  <fonts count="21">
    <font>
      <sz val="11"/>
      <color rgb="FF000000"/>
      <name val="宋体"/>
      <family val="2"/>
      <scheme val="minor"/>
    </font>
    <font>
      <b/>
      <sz val="12"/>
      <name val="Aptos"/>
      <family val="2"/>
    </font>
    <font>
      <sz val="10"/>
      <color rgb="FF000000"/>
      <name val="Arial"/>
      <family val="2"/>
    </font>
    <font>
      <b/>
      <sz val="11"/>
      <color theme="0"/>
      <name val="Aptos"/>
      <family val="2"/>
    </font>
    <font>
      <b/>
      <sz val="10"/>
      <color theme="0"/>
      <name val="Aptos"/>
      <family val="2"/>
    </font>
    <font>
      <b/>
      <sz val="10"/>
      <color theme="0"/>
      <name val="Arial"/>
      <family val="2"/>
    </font>
    <font>
      <b/>
      <sz val="9"/>
      <color theme="0"/>
      <name val="Aptos"/>
      <family val="2"/>
    </font>
    <font>
      <sz val="10"/>
      <name val="Arial"/>
      <family val="2"/>
    </font>
    <font>
      <i/>
      <sz val="10"/>
      <name val="Arial"/>
      <family val="2"/>
    </font>
    <font>
      <sz val="10"/>
      <color rgb="FF000000"/>
      <name val="Trebuchet MS"/>
      <family val="2"/>
    </font>
    <font>
      <sz val="9"/>
      <color rgb="FF222222"/>
      <name val="Signika"/>
      <charset val="1"/>
    </font>
    <font>
      <sz val="10"/>
      <color rgb="FFFF0000"/>
      <name val="Arial"/>
      <family val="2"/>
    </font>
    <font>
      <sz val="11"/>
      <color rgb="FF000000"/>
      <name val="Aptos Narrow"/>
      <family val="2"/>
    </font>
    <font>
      <b/>
      <sz val="14"/>
      <name val="Arial"/>
      <family val="2"/>
    </font>
    <font>
      <sz val="11"/>
      <color rgb="FFFF0000"/>
      <name val="Aptos Narrow"/>
      <family val="2"/>
    </font>
    <font>
      <sz val="11"/>
      <color rgb="FFFF0000"/>
      <name val="Aptos Narrow"/>
    </font>
    <font>
      <sz val="9"/>
      <color rgb="FF000000"/>
      <name val="Signika"/>
      <charset val="1"/>
    </font>
    <font>
      <sz val="11"/>
      <color rgb="FF000000"/>
      <name val="Aptos Narrow"/>
    </font>
    <font>
      <sz val="10"/>
      <color rgb="FFFF0000"/>
      <name val="Trebuchet MS"/>
      <family val="2"/>
    </font>
    <font>
      <sz val="10"/>
      <color theme="1"/>
      <name val="Arial"/>
      <family val="2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91D0E"/>
        <bgColor indexed="64"/>
      </patternFill>
    </fill>
    <fill>
      <patternFill patternType="solid">
        <fgColor rgb="FF002B4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0" borderId="0" xfId="0" applyFont="1"/>
    <xf numFmtId="0" fontId="4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5" fontId="7" fillId="0" borderId="12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2" xfId="0" applyFont="1" applyBorder="1"/>
    <xf numFmtId="0" fontId="4" fillId="3" borderId="15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top" readingOrder="1"/>
    </xf>
    <xf numFmtId="176" fontId="9" fillId="4" borderId="12" xfId="0" applyNumberFormat="1" applyFont="1" applyFill="1" applyBorder="1" applyAlignment="1">
      <alignment horizontal="center" vertical="top" readingOrder="1"/>
    </xf>
    <xf numFmtId="0" fontId="4" fillId="3" borderId="16" xfId="0" applyFont="1" applyFill="1" applyBorder="1" applyAlignment="1">
      <alignment horizontal="center" vertical="center" wrapText="1"/>
    </xf>
    <xf numFmtId="176" fontId="9" fillId="0" borderId="12" xfId="0" applyNumberFormat="1" applyFont="1" applyBorder="1" applyAlignment="1">
      <alignment horizontal="center" vertical="top" readingOrder="1"/>
    </xf>
    <xf numFmtId="0" fontId="9" fillId="0" borderId="12" xfId="0" applyFont="1" applyBorder="1" applyAlignment="1">
      <alignment horizontal="center" vertical="top" readingOrder="1"/>
    </xf>
    <xf numFmtId="0" fontId="7" fillId="0" borderId="18" xfId="0" applyFont="1" applyBorder="1" applyAlignment="1">
      <alignment horizontal="center" vertical="center"/>
    </xf>
    <xf numFmtId="0" fontId="7" fillId="0" borderId="20" xfId="0" applyFont="1" applyBorder="1"/>
    <xf numFmtId="0" fontId="10" fillId="0" borderId="17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9" fontId="7" fillId="0" borderId="12" xfId="0" applyNumberFormat="1" applyFont="1" applyBorder="1" applyAlignment="1">
      <alignment horizontal="center"/>
    </xf>
    <xf numFmtId="0" fontId="7" fillId="0" borderId="12" xfId="0" quotePrefix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12" xfId="0" applyFont="1" applyBorder="1" applyAlignment="1">
      <alignment horizontal="right" vertical="center"/>
    </xf>
    <xf numFmtId="177" fontId="7" fillId="0" borderId="12" xfId="0" quotePrefix="1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177" fontId="7" fillId="6" borderId="12" xfId="0" applyNumberFormat="1" applyFont="1" applyFill="1" applyBorder="1" applyAlignment="1">
      <alignment horizontal="center" vertical="center"/>
    </xf>
    <xf numFmtId="0" fontId="7" fillId="0" borderId="12" xfId="0" applyFont="1" applyBorder="1" applyAlignment="1">
      <alignment horizontal="right" vertical="center" wrapText="1"/>
    </xf>
    <xf numFmtId="0" fontId="7" fillId="0" borderId="20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176" fontId="9" fillId="4" borderId="12" xfId="0" applyNumberFormat="1" applyFont="1" applyFill="1" applyBorder="1" applyAlignment="1">
      <alignment horizontal="center" vertical="center" readingOrder="1"/>
    </xf>
    <xf numFmtId="176" fontId="9" fillId="0" borderId="12" xfId="0" applyNumberFormat="1" applyFont="1" applyBorder="1" applyAlignment="1">
      <alignment horizontal="center" vertical="center" readingOrder="1"/>
    </xf>
    <xf numFmtId="0" fontId="9" fillId="0" borderId="12" xfId="0" applyFont="1" applyBorder="1" applyAlignment="1">
      <alignment horizontal="center" vertical="center" readingOrder="1"/>
    </xf>
    <xf numFmtId="0" fontId="12" fillId="0" borderId="20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3" fillId="0" borderId="12" xfId="0" applyFont="1" applyBorder="1" applyAlignment="1">
      <alignment horizontal="right" vertical="center"/>
    </xf>
    <xf numFmtId="0" fontId="7" fillId="0" borderId="20" xfId="0" applyFont="1" applyBorder="1" applyAlignment="1">
      <alignment horizontal="center" vertical="center"/>
    </xf>
    <xf numFmtId="0" fontId="7" fillId="0" borderId="19" xfId="0" applyFont="1" applyBorder="1"/>
    <xf numFmtId="0" fontId="7" fillId="0" borderId="13" xfId="0" applyFont="1" applyBorder="1"/>
    <xf numFmtId="0" fontId="7" fillId="0" borderId="13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14" fillId="0" borderId="20" xfId="0" applyFont="1" applyBorder="1" applyAlignment="1">
      <alignment horizontal="left"/>
    </xf>
    <xf numFmtId="0" fontId="15" fillId="0" borderId="20" xfId="0" applyFont="1" applyBorder="1" applyAlignment="1">
      <alignment horizontal="left"/>
    </xf>
    <xf numFmtId="177" fontId="7" fillId="5" borderId="12" xfId="0" quotePrefix="1" applyNumberFormat="1" applyFont="1" applyFill="1" applyBorder="1" applyAlignment="1">
      <alignment horizontal="center" vertical="center"/>
    </xf>
    <xf numFmtId="176" fontId="7" fillId="0" borderId="12" xfId="0" quotePrefix="1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5" fontId="2" fillId="0" borderId="1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20" xfId="0" applyFont="1" applyBorder="1"/>
    <xf numFmtId="0" fontId="2" fillId="0" borderId="12" xfId="0" applyFont="1" applyBorder="1"/>
    <xf numFmtId="0" fontId="2" fillId="0" borderId="13" xfId="0" applyFont="1" applyBorder="1" applyAlignment="1">
      <alignment horizontal="center"/>
    </xf>
    <xf numFmtId="0" fontId="2" fillId="0" borderId="0" xfId="0" applyFont="1" applyAlignment="1">
      <alignment horizontal="center"/>
    </xf>
    <xf numFmtId="9" fontId="2" fillId="0" borderId="12" xfId="0" applyNumberFormat="1" applyFont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0" fontId="2" fillId="0" borderId="19" xfId="0" applyFont="1" applyBorder="1"/>
    <xf numFmtId="0" fontId="2" fillId="0" borderId="13" xfId="0" applyFont="1" applyBorder="1"/>
    <xf numFmtId="0" fontId="2" fillId="0" borderId="14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17" fillId="0" borderId="20" xfId="0" applyFont="1" applyBorder="1" applyAlignment="1">
      <alignment horizontal="left"/>
    </xf>
    <xf numFmtId="0" fontId="2" fillId="0" borderId="20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17" fillId="0" borderId="12" xfId="0" applyFont="1" applyBorder="1" applyAlignment="1">
      <alignment horizontal="left"/>
    </xf>
    <xf numFmtId="0" fontId="12" fillId="0" borderId="17" xfId="0" applyFont="1" applyBorder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11" fillId="0" borderId="12" xfId="0" applyFont="1" applyBorder="1" applyAlignment="1">
      <alignment horizontal="center" vertical="center"/>
    </xf>
    <xf numFmtId="1" fontId="4" fillId="2" borderId="8" xfId="0" applyNumberFormat="1" applyFont="1" applyFill="1" applyBorder="1" applyAlignment="1">
      <alignment horizontal="center" vertical="center" wrapText="1"/>
    </xf>
    <xf numFmtId="1" fontId="4" fillId="3" borderId="8" xfId="0" applyNumberFormat="1" applyFont="1" applyFill="1" applyBorder="1" applyAlignment="1">
      <alignment horizontal="center" vertical="center" wrapText="1"/>
    </xf>
    <xf numFmtId="1" fontId="7" fillId="0" borderId="12" xfId="0" applyNumberFormat="1" applyFont="1" applyBorder="1" applyAlignment="1">
      <alignment horizontal="center" vertical="center"/>
    </xf>
    <xf numFmtId="1" fontId="7" fillId="0" borderId="0" xfId="0" applyNumberFormat="1" applyFont="1"/>
    <xf numFmtId="0" fontId="7" fillId="0" borderId="18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0" xfId="0" applyFont="1" applyAlignment="1">
      <alignment horizontal="center"/>
    </xf>
    <xf numFmtId="176" fontId="18" fillId="0" borderId="12" xfId="0" applyNumberFormat="1" applyFont="1" applyBorder="1" applyAlignment="1">
      <alignment horizontal="center" vertical="top" readingOrder="1"/>
    </xf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1" fillId="7" borderId="12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12" fillId="0" borderId="13" xfId="0" applyFont="1" applyBorder="1" applyAlignment="1">
      <alignment horizontal="left"/>
    </xf>
  </cellXfs>
  <cellStyles count="1">
    <cellStyle name="常规" xfId="0" builtinId="0"/>
  </cellStyles>
  <dxfs count="75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 patternType="solid"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theme="6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theme="6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19051</xdr:rowOff>
    </xdr:from>
    <xdr:to>
      <xdr:col>2</xdr:col>
      <xdr:colOff>269459</xdr:colOff>
      <xdr:row>0</xdr:row>
      <xdr:rowOff>420852</xdr:rowOff>
    </xdr:to>
    <xdr:pic>
      <xdr:nvPicPr>
        <xdr:cNvPr id="2" name="Picture 1" descr="Study Group - Inova Education">
          <a:extLst>
            <a:ext uri="{FF2B5EF4-FFF2-40B4-BE49-F238E27FC236}">
              <a16:creationId xmlns:a16="http://schemas.microsoft.com/office/drawing/2014/main" id="{2C99999F-874A-4111-8C25-044299C5B0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24571" r="-3875" b="31071"/>
        <a:stretch>
          <a:fillRect/>
        </a:stretch>
      </xdr:blipFill>
      <xdr:spPr bwMode="auto">
        <a:xfrm>
          <a:off x="0" y="19051"/>
          <a:ext cx="1679159" cy="401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19051</xdr:rowOff>
    </xdr:from>
    <xdr:to>
      <xdr:col>2</xdr:col>
      <xdr:colOff>383759</xdr:colOff>
      <xdr:row>0</xdr:row>
      <xdr:rowOff>420852</xdr:rowOff>
    </xdr:to>
    <xdr:pic>
      <xdr:nvPicPr>
        <xdr:cNvPr id="2" name="Picture 1" descr="Study Group - Inova Education">
          <a:extLst>
            <a:ext uri="{FF2B5EF4-FFF2-40B4-BE49-F238E27FC236}">
              <a16:creationId xmlns:a16="http://schemas.microsoft.com/office/drawing/2014/main" id="{236FB1E9-FA84-4F97-9AFF-5F1F1B97C7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24571" r="-3875" b="31071"/>
        <a:stretch>
          <a:fillRect/>
        </a:stretch>
      </xdr:blipFill>
      <xdr:spPr bwMode="auto">
        <a:xfrm>
          <a:off x="0" y="19051"/>
          <a:ext cx="1679159" cy="401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ulius Koh" id="{D071FFAD-2B3C-490C-B691-7D6D96776728}" userId="S::julius.koh@studygroup.com::52344243-ce11-413d-a655-3419532bb504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R14" dT="2026-01-22T06:17:56.10" personId="{D071FFAD-2B3C-490C-B691-7D6D96776728}" id="{57EC12B6-881D-4724-8E07-62925FC20D0B}">
    <text>Original Mark 58 AMP recommended 0 mark</text>
  </threadedComment>
  <threadedComment ref="DR24" dT="2026-01-22T06:18:08.91" personId="{D071FFAD-2B3C-490C-B691-7D6D96776728}" id="{D6684E04-0E52-425D-9601-2097039EA458}">
    <text>Original Mark 78 AMP recomended reduction by 10%</text>
  </threadedComment>
  <threadedComment ref="DR31" dT="2026-01-22T06:18:30.24" personId="{D071FFAD-2B3C-490C-B691-7D6D96776728}" id="{B1A5568F-438E-4DFC-9B8F-8BACB125F93D}">
    <text>Orignial Mark 51 AMP recommended 0 mark</text>
  </threadedComment>
  <threadedComment ref="EB31" dT="2026-01-22T06:18:49.55" personId="{D071FFAD-2B3C-490C-B691-7D6D96776728}" id="{AEB1F014-2286-4B3E-9F2A-8B542778F895}">
    <text>Original Mark 57 AMP recomended 0 mark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9D139-8BB7-4577-9900-6A320470D769}">
  <dimension ref="A1:EL46"/>
  <sheetViews>
    <sheetView tabSelected="1" zoomScale="110" zoomScaleNormal="110" workbookViewId="0">
      <pane xSplit="2" ySplit="3" topLeftCell="C11" activePane="bottomRight" state="frozen"/>
      <selection pane="topRight" activeCell="C1" sqref="C1"/>
      <selection pane="bottomLeft" activeCell="A4" sqref="A4"/>
      <selection pane="bottomRight" activeCell="D34" sqref="D34"/>
    </sheetView>
  </sheetViews>
  <sheetFormatPr baseColWidth="10" defaultColWidth="9.1640625" defaultRowHeight="12.75" customHeight="1" outlineLevelCol="2"/>
  <cols>
    <col min="1" max="1" width="11.6640625" style="13" customWidth="1" outlineLevel="1"/>
    <col min="2" max="3" width="9.5" style="13" bestFit="1" customWidth="1" outlineLevel="1"/>
    <col min="4" max="4" width="9.5" style="13" customWidth="1" outlineLevel="1"/>
    <col min="5" max="7" width="9.1640625" style="13" customWidth="1" outlineLevel="1"/>
    <col min="8" max="8" width="12" style="13" customWidth="1" outlineLevel="1"/>
    <col min="9" max="9" width="10.83203125" style="13" customWidth="1" outlineLevel="1"/>
    <col min="10" max="10" width="12.1640625" style="13" customWidth="1"/>
    <col min="11" max="11" width="13.1640625" style="13" hidden="1" customWidth="1" outlineLevel="1"/>
    <col min="12" max="12" width="14" style="13" hidden="1" customWidth="1" outlineLevel="1"/>
    <col min="13" max="13" width="13.5" style="13" customWidth="1" collapsed="1"/>
    <col min="14" max="16" width="12.83203125" style="13" hidden="1" customWidth="1" outlineLevel="2"/>
    <col min="17" max="17" width="10.5" style="13" customWidth="1" outlineLevel="2"/>
    <col min="18" max="18" width="10.83203125" style="13" customWidth="1" outlineLevel="2"/>
    <col min="19" max="19" width="10.5" style="13" customWidth="1" outlineLevel="2"/>
    <col min="20" max="20" width="14" style="13" customWidth="1" outlineLevel="2"/>
    <col min="21" max="21" width="15.83203125" style="89" customWidth="1" outlineLevel="1"/>
    <col min="22" max="22" width="13.1640625" style="13" hidden="1" customWidth="1" outlineLevel="2"/>
    <col min="23" max="24" width="12.83203125" style="13" hidden="1" customWidth="1" outlineLevel="2"/>
    <col min="25" max="25" width="12.1640625" style="13" hidden="1" customWidth="1" outlineLevel="2"/>
    <col min="26" max="28" width="12.5" style="13" hidden="1" customWidth="1" outlineLevel="2"/>
    <col min="29" max="30" width="8.5" style="13" hidden="1" customWidth="1" outlineLevel="2"/>
    <col min="31" max="31" width="16.1640625" style="13" customWidth="1" outlineLevel="1" collapsed="1"/>
    <col min="32" max="32" width="6.1640625" style="13" customWidth="1" outlineLevel="1"/>
    <col min="33" max="33" width="6.5" style="13" customWidth="1" outlineLevel="1"/>
    <col min="34" max="34" width="12.5" style="13" customWidth="1"/>
    <col min="35" max="37" width="12" style="13" hidden="1" customWidth="1" outlineLevel="2"/>
    <col min="38" max="38" width="10.5" style="13" customWidth="1" outlineLevel="2"/>
    <col min="39" max="39" width="12.5" style="13" customWidth="1" outlineLevel="2"/>
    <col min="40" max="40" width="13.1640625" style="13" customWidth="1" outlineLevel="1"/>
    <col min="41" max="42" width="12" style="13" hidden="1" customWidth="1" outlineLevel="2"/>
    <col min="43" max="43" width="8" style="13" hidden="1" customWidth="1" outlineLevel="2"/>
    <col min="44" max="44" width="12.1640625" style="13" hidden="1" customWidth="1" outlineLevel="2"/>
    <col min="45" max="45" width="13.5" style="13" customWidth="1" outlineLevel="1" collapsed="1"/>
    <col min="46" max="46" width="6.1640625" style="13" customWidth="1" outlineLevel="1"/>
    <col min="47" max="47" width="6.83203125" style="13" customWidth="1" outlineLevel="1"/>
    <col min="48" max="48" width="13.83203125" style="13" bestFit="1" customWidth="1"/>
    <col min="49" max="49" width="9.83203125" style="13" customWidth="1" outlineLevel="1"/>
    <col min="50" max="52" width="12" style="13" hidden="1" customWidth="1" outlineLevel="2"/>
    <col min="53" max="53" width="10.5" style="13" customWidth="1" outlineLevel="2"/>
    <col min="54" max="54" width="12.5" style="13" customWidth="1" outlineLevel="2"/>
    <col min="55" max="55" width="13.1640625" style="13" customWidth="1" outlineLevel="1"/>
    <col min="56" max="58" width="12" style="13" hidden="1" customWidth="1" outlineLevel="2"/>
    <col min="59" max="59" width="11" style="13" hidden="1" customWidth="1" outlineLevel="2"/>
    <col min="60" max="60" width="12.5" style="13" hidden="1" customWidth="1" outlineLevel="2"/>
    <col min="61" max="61" width="13.5" style="13" customWidth="1" outlineLevel="1" collapsed="1"/>
    <col min="62" max="62" width="6.1640625" style="13" customWidth="1" outlineLevel="1"/>
    <col min="63" max="63" width="6.83203125" style="13" customWidth="1" outlineLevel="1"/>
    <col min="64" max="64" width="13.83203125" style="13" bestFit="1" customWidth="1"/>
    <col min="65" max="65" width="9.83203125" style="13" customWidth="1" outlineLevel="1"/>
    <col min="66" max="68" width="12" style="13" hidden="1" customWidth="1" outlineLevel="2"/>
    <col min="69" max="69" width="10.5" style="13" customWidth="1" outlineLevel="2"/>
    <col min="70" max="70" width="12.5" style="13" customWidth="1" outlineLevel="2"/>
    <col min="71" max="71" width="13.1640625" style="13" customWidth="1" outlineLevel="1"/>
    <col min="72" max="73" width="12" style="13" hidden="1" customWidth="1" outlineLevel="2"/>
    <col min="74" max="74" width="15.5" style="13" hidden="1" customWidth="1" outlineLevel="2"/>
    <col min="75" max="75" width="14.5" style="13" hidden="1" customWidth="1" outlineLevel="2"/>
    <col min="76" max="76" width="13.5" style="13" customWidth="1" outlineLevel="1" collapsed="1"/>
    <col min="77" max="77" width="6.1640625" style="13" customWidth="1" outlineLevel="1"/>
    <col min="78" max="78" width="6.83203125" style="13" customWidth="1" outlineLevel="1"/>
    <col min="79" max="79" width="10.5" style="13" bestFit="1" customWidth="1"/>
    <col min="80" max="82" width="12" style="13" hidden="1" customWidth="1" outlineLevel="2"/>
    <col min="83" max="83" width="9.1640625" style="13" customWidth="1" outlineLevel="2"/>
    <col min="84" max="84" width="12.1640625" style="13" customWidth="1" outlineLevel="2"/>
    <col min="85" max="85" width="13.1640625" style="13" customWidth="1" outlineLevel="1"/>
    <col min="86" max="87" width="12" style="13" hidden="1" customWidth="1" outlineLevel="2"/>
    <col min="88" max="88" width="12.5" style="13" hidden="1" customWidth="1" outlineLevel="2"/>
    <col min="89" max="89" width="13.5" style="13" customWidth="1" outlineLevel="1" collapsed="1"/>
    <col min="90" max="90" width="6.1640625" style="13" customWidth="1" outlineLevel="1"/>
    <col min="91" max="91" width="6.83203125" style="13" customWidth="1" outlineLevel="1"/>
    <col min="92" max="92" width="12" style="13" bestFit="1" customWidth="1"/>
    <col min="93" max="97" width="12" style="13" hidden="1" customWidth="1" outlineLevel="2"/>
    <col min="98" max="98" width="9.1640625" style="13" customWidth="1" outlineLevel="2"/>
    <col min="99" max="99" width="12.5" style="13" customWidth="1" outlineLevel="2"/>
    <col min="100" max="100" width="12.5" style="13" customWidth="1" outlineLevel="1"/>
    <col min="101" max="103" width="12" style="13" hidden="1" customWidth="1" outlineLevel="2"/>
    <col min="104" max="104" width="18" style="13" hidden="1" customWidth="1" outlineLevel="2"/>
    <col min="105" max="105" width="14.5" style="13" hidden="1" customWidth="1" outlineLevel="2"/>
    <col min="106" max="106" width="13.5" style="13" customWidth="1" outlineLevel="1" collapsed="1"/>
    <col min="107" max="108" width="9.1640625" style="13" customWidth="1" outlineLevel="1"/>
    <col min="109" max="109" width="12.1640625" style="13" customWidth="1"/>
    <col min="110" max="110" width="12" style="13" hidden="1" customWidth="1" outlineLevel="2"/>
    <col min="111" max="111" width="13.5" style="13" customWidth="1" outlineLevel="2"/>
    <col min="112" max="112" width="15.5" style="13" customWidth="1" outlineLevel="2"/>
    <col min="113" max="113" width="13.1640625" style="13" customWidth="1" outlineLevel="1"/>
    <col min="114" max="114" width="12" style="13" hidden="1" customWidth="1" outlineLevel="2"/>
    <col min="115" max="115" width="11.5" style="13" hidden="1" customWidth="1" outlineLevel="2"/>
    <col min="116" max="116" width="12.5" style="13" hidden="1" customWidth="1" outlineLevel="2"/>
    <col min="117" max="117" width="13.5" style="13" customWidth="1" outlineLevel="1" collapsed="1"/>
    <col min="118" max="118" width="6.1640625" style="13" customWidth="1" outlineLevel="1"/>
    <col min="119" max="119" width="6.83203125" style="13" customWidth="1" outlineLevel="1"/>
    <col min="120" max="120" width="10.5" style="13" customWidth="1"/>
    <col min="121" max="121" width="12" style="13" hidden="1" customWidth="1" outlineLevel="2"/>
    <col min="122" max="122" width="9.83203125" style="13" bestFit="1" customWidth="1" outlineLevel="2"/>
    <col min="123" max="123" width="12.1640625" style="13" customWidth="1" outlineLevel="2"/>
    <col min="124" max="124" width="13.1640625" style="13" customWidth="1" outlineLevel="1"/>
    <col min="125" max="125" width="8.83203125" style="13" hidden="1" customWidth="1" outlineLevel="2"/>
    <col min="126" max="126" width="12.1640625" style="13" hidden="1" customWidth="1" outlineLevel="2"/>
    <col min="127" max="127" width="13.5" style="13" customWidth="1" outlineLevel="1" collapsed="1"/>
    <col min="128" max="128" width="6.1640625" style="13" customWidth="1" outlineLevel="1"/>
    <col min="129" max="129" width="6.83203125" style="13" customWidth="1" outlineLevel="1"/>
    <col min="130" max="130" width="12.5" style="13" customWidth="1"/>
    <col min="131" max="131" width="12" style="13" hidden="1" customWidth="1" outlineLevel="2"/>
    <col min="132" max="132" width="12.83203125" style="13" customWidth="1" outlineLevel="2"/>
    <col min="133" max="133" width="14.5" style="13" customWidth="1" outlineLevel="2"/>
    <col min="134" max="134" width="13.1640625" style="13" customWidth="1" outlineLevel="1"/>
    <col min="135" max="136" width="13.83203125" style="13" hidden="1" customWidth="1" outlineLevel="2"/>
    <col min="137" max="137" width="15.83203125" style="13" hidden="1" customWidth="1" outlineLevel="2"/>
    <col min="138" max="138" width="12.5" style="13" hidden="1" customWidth="1" outlineLevel="2"/>
    <col min="139" max="139" width="12.83203125" style="13" customWidth="1" outlineLevel="1" collapsed="1"/>
    <col min="140" max="140" width="8.5" style="13" customWidth="1" outlineLevel="1"/>
    <col min="141" max="141" width="8.1640625" style="13" customWidth="1" outlineLevel="1"/>
    <col min="142" max="142" width="10.5" style="13" bestFit="1" customWidth="1"/>
    <col min="143" max="143" width="9.1640625" style="13"/>
    <col min="144" max="144" width="15.1640625" style="13" bestFit="1" customWidth="1"/>
    <col min="145" max="145" width="11" style="13" customWidth="1"/>
    <col min="146" max="146" width="8.83203125" style="13" customWidth="1"/>
    <col min="147" max="16384" width="9.1640625" style="13"/>
  </cols>
  <sheetData>
    <row r="1" spans="1:142" s="1" customFormat="1" ht="83.5" customHeight="1">
      <c r="A1" s="114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4"/>
      <c r="BX1" s="114"/>
      <c r="BY1" s="114"/>
      <c r="BZ1" s="114"/>
      <c r="CA1" s="114"/>
      <c r="CB1" s="114"/>
      <c r="CC1" s="114"/>
      <c r="CD1" s="114"/>
      <c r="CE1" s="114"/>
      <c r="CF1" s="114"/>
      <c r="CG1" s="114"/>
      <c r="CH1" s="114"/>
      <c r="CI1" s="114"/>
      <c r="CJ1" s="114"/>
      <c r="CK1" s="114"/>
      <c r="CL1" s="114"/>
      <c r="CM1" s="114"/>
      <c r="CN1" s="114"/>
      <c r="CO1" s="114"/>
      <c r="CP1" s="114"/>
      <c r="CQ1" s="114"/>
      <c r="CR1" s="114"/>
      <c r="CS1" s="114"/>
      <c r="CT1" s="114"/>
      <c r="CU1" s="114"/>
      <c r="CV1" s="114"/>
      <c r="CW1" s="114"/>
      <c r="CX1" s="114"/>
      <c r="CY1" s="114"/>
      <c r="CZ1" s="114"/>
      <c r="DA1" s="114"/>
      <c r="DB1" s="114"/>
      <c r="DC1" s="114"/>
      <c r="DD1" s="114"/>
      <c r="DE1" s="114"/>
      <c r="DF1" s="114"/>
      <c r="DG1" s="114"/>
      <c r="DH1" s="114"/>
      <c r="DI1" s="114"/>
      <c r="DJ1" s="114"/>
      <c r="DK1" s="114"/>
      <c r="DL1" s="114"/>
      <c r="DM1" s="114"/>
      <c r="DN1" s="114"/>
      <c r="DO1" s="114"/>
      <c r="DP1" s="114"/>
      <c r="DQ1" s="114"/>
      <c r="DR1" s="114"/>
      <c r="DS1" s="114"/>
      <c r="DT1" s="114"/>
      <c r="DU1" s="114"/>
      <c r="DV1" s="114"/>
      <c r="DW1" s="114"/>
      <c r="DX1" s="114"/>
      <c r="DY1" s="114"/>
      <c r="DZ1" s="114"/>
      <c r="EA1" s="114"/>
      <c r="EB1" s="114"/>
      <c r="EC1" s="114"/>
      <c r="ED1" s="114"/>
      <c r="EE1" s="114"/>
      <c r="EF1" s="114"/>
      <c r="EG1" s="114"/>
      <c r="EH1" s="114"/>
      <c r="EI1" s="114"/>
      <c r="EJ1" s="114"/>
      <c r="EK1" s="114"/>
      <c r="EL1" s="114"/>
    </row>
    <row r="2" spans="1:142" s="1" customFormat="1" ht="15" customHeight="1">
      <c r="A2" s="109" t="s">
        <v>1</v>
      </c>
      <c r="B2" s="109"/>
      <c r="C2" s="81"/>
      <c r="D2" s="81"/>
      <c r="E2" s="81"/>
      <c r="F2" s="81"/>
      <c r="G2" s="81"/>
      <c r="H2" s="81"/>
      <c r="I2" s="81"/>
      <c r="J2" s="82"/>
      <c r="K2" s="108" t="s">
        <v>2</v>
      </c>
      <c r="L2" s="109"/>
      <c r="M2" s="110"/>
      <c r="N2" s="103"/>
      <c r="O2" s="103"/>
      <c r="P2" s="103"/>
      <c r="Q2" s="103"/>
      <c r="R2" s="103"/>
      <c r="S2" s="103"/>
      <c r="T2" s="103"/>
      <c r="U2" s="103"/>
      <c r="V2" s="104" t="s">
        <v>3</v>
      </c>
      <c r="W2" s="100"/>
      <c r="X2" s="100"/>
      <c r="Y2" s="100"/>
      <c r="Z2" s="100"/>
      <c r="AA2" s="100"/>
      <c r="AB2" s="100"/>
      <c r="AC2" s="100"/>
      <c r="AD2" s="100"/>
      <c r="AE2" s="101"/>
      <c r="AF2" s="102" t="s">
        <v>4</v>
      </c>
      <c r="AG2" s="102" t="s">
        <v>5</v>
      </c>
      <c r="AH2" s="102" t="s">
        <v>6</v>
      </c>
      <c r="AI2" s="111" t="s">
        <v>7</v>
      </c>
      <c r="AJ2" s="112"/>
      <c r="AK2" s="112"/>
      <c r="AL2" s="112"/>
      <c r="AM2" s="112"/>
      <c r="AN2" s="112"/>
      <c r="AO2" s="112"/>
      <c r="AP2" s="112"/>
      <c r="AQ2" s="112"/>
      <c r="AR2" s="112"/>
      <c r="AS2" s="113"/>
      <c r="AT2" s="102" t="s">
        <v>4</v>
      </c>
      <c r="AU2" s="102" t="s">
        <v>5</v>
      </c>
      <c r="AV2" s="102" t="s">
        <v>7</v>
      </c>
      <c r="AW2" s="104" t="s">
        <v>8</v>
      </c>
      <c r="AX2" s="100"/>
      <c r="AY2" s="100"/>
      <c r="AZ2" s="100"/>
      <c r="BA2" s="100"/>
      <c r="BB2" s="100"/>
      <c r="BC2" s="100"/>
      <c r="BD2" s="100"/>
      <c r="BE2" s="100"/>
      <c r="BF2" s="100"/>
      <c r="BG2" s="100"/>
      <c r="BH2" s="100"/>
      <c r="BI2" s="101"/>
      <c r="BJ2" s="102" t="s">
        <v>4</v>
      </c>
      <c r="BK2" s="102" t="s">
        <v>5</v>
      </c>
      <c r="BL2" s="102" t="s">
        <v>8</v>
      </c>
      <c r="BM2" s="104" t="s">
        <v>9</v>
      </c>
      <c r="BN2" s="100"/>
      <c r="BO2" s="100"/>
      <c r="BP2" s="100"/>
      <c r="BQ2" s="100"/>
      <c r="BR2" s="100"/>
      <c r="BS2" s="100"/>
      <c r="BT2" s="100"/>
      <c r="BU2" s="100"/>
      <c r="BV2" s="100"/>
      <c r="BW2" s="100"/>
      <c r="BX2" s="101"/>
      <c r="BY2" s="102" t="s">
        <v>4</v>
      </c>
      <c r="BZ2" s="102" t="s">
        <v>5</v>
      </c>
      <c r="CA2" s="102" t="s">
        <v>10</v>
      </c>
      <c r="CB2" s="104" t="s">
        <v>11</v>
      </c>
      <c r="CC2" s="100"/>
      <c r="CD2" s="100"/>
      <c r="CE2" s="100"/>
      <c r="CF2" s="100"/>
      <c r="CG2" s="100"/>
      <c r="CH2" s="100"/>
      <c r="CI2" s="100"/>
      <c r="CJ2" s="100"/>
      <c r="CK2" s="101"/>
      <c r="CL2" s="102" t="s">
        <v>4</v>
      </c>
      <c r="CM2" s="102" t="s">
        <v>5</v>
      </c>
      <c r="CN2" s="102" t="s">
        <v>11</v>
      </c>
      <c r="CO2" s="104" t="s">
        <v>12</v>
      </c>
      <c r="CP2" s="100"/>
      <c r="CQ2" s="100"/>
      <c r="CR2" s="100"/>
      <c r="CS2" s="100"/>
      <c r="CT2" s="100"/>
      <c r="CU2" s="100"/>
      <c r="CV2" s="100"/>
      <c r="CW2" s="100"/>
      <c r="CX2" s="100"/>
      <c r="CY2" s="100"/>
      <c r="CZ2" s="100"/>
      <c r="DA2" s="100"/>
      <c r="DB2" s="101"/>
      <c r="DC2" s="102" t="s">
        <v>4</v>
      </c>
      <c r="DD2" s="102" t="s">
        <v>5</v>
      </c>
      <c r="DE2" s="102" t="s">
        <v>12</v>
      </c>
      <c r="DF2" s="100" t="s">
        <v>13</v>
      </c>
      <c r="DG2" s="100"/>
      <c r="DH2" s="100"/>
      <c r="DI2" s="100"/>
      <c r="DJ2" s="100"/>
      <c r="DK2" s="100"/>
      <c r="DL2" s="100"/>
      <c r="DM2" s="101"/>
      <c r="DN2" s="102" t="s">
        <v>4</v>
      </c>
      <c r="DO2" s="102" t="s">
        <v>5</v>
      </c>
      <c r="DP2" s="102" t="s">
        <v>13</v>
      </c>
      <c r="DQ2" s="100" t="s">
        <v>14</v>
      </c>
      <c r="DR2" s="100"/>
      <c r="DS2" s="100"/>
      <c r="DT2" s="100"/>
      <c r="DU2" s="100"/>
      <c r="DV2" s="100"/>
      <c r="DW2" s="101"/>
      <c r="DX2" s="102" t="s">
        <v>4</v>
      </c>
      <c r="DY2" s="102" t="s">
        <v>5</v>
      </c>
      <c r="DZ2" s="102" t="s">
        <v>14</v>
      </c>
      <c r="EA2" s="104" t="s">
        <v>15</v>
      </c>
      <c r="EB2" s="100"/>
      <c r="EC2" s="100"/>
      <c r="ED2" s="100"/>
      <c r="EE2" s="100"/>
      <c r="EF2" s="100"/>
      <c r="EG2" s="100"/>
      <c r="EH2" s="100"/>
      <c r="EI2" s="101"/>
      <c r="EJ2" s="102" t="s">
        <v>4</v>
      </c>
      <c r="EK2" s="102" t="s">
        <v>5</v>
      </c>
      <c r="EL2" s="102" t="s">
        <v>16</v>
      </c>
    </row>
    <row r="3" spans="1:142" s="5" customFormat="1" ht="32">
      <c r="A3" s="100"/>
      <c r="B3" s="100"/>
      <c r="C3" s="83"/>
      <c r="D3" s="83"/>
      <c r="E3" s="83"/>
      <c r="F3" s="83"/>
      <c r="G3" s="83"/>
      <c r="H3" s="83"/>
      <c r="I3" s="83"/>
      <c r="J3" s="84"/>
      <c r="K3" s="104"/>
      <c r="L3" s="100"/>
      <c r="M3" s="101"/>
      <c r="N3" s="2" t="s">
        <v>17</v>
      </c>
      <c r="O3" s="2" t="s">
        <v>18</v>
      </c>
      <c r="P3" s="29" t="s">
        <v>19</v>
      </c>
      <c r="Q3" s="2" t="s">
        <v>23</v>
      </c>
      <c r="R3" s="2" t="s">
        <v>181</v>
      </c>
      <c r="S3" s="2" t="s">
        <v>182</v>
      </c>
      <c r="T3" s="2" t="s">
        <v>183</v>
      </c>
      <c r="U3" s="86" t="s">
        <v>21</v>
      </c>
      <c r="V3" s="2" t="s">
        <v>22</v>
      </c>
      <c r="W3" s="2" t="s">
        <v>17</v>
      </c>
      <c r="X3" s="2" t="s">
        <v>18</v>
      </c>
      <c r="Y3" s="3" t="s">
        <v>23</v>
      </c>
      <c r="Z3" s="2" t="s">
        <v>24</v>
      </c>
      <c r="AA3" s="2" t="s">
        <v>25</v>
      </c>
      <c r="AB3" s="2" t="s">
        <v>26</v>
      </c>
      <c r="AC3" s="2" t="s">
        <v>27</v>
      </c>
      <c r="AD3" s="2" t="s">
        <v>28</v>
      </c>
      <c r="AE3" s="2"/>
      <c r="AF3" s="103"/>
      <c r="AG3" s="103"/>
      <c r="AH3" s="103"/>
      <c r="AI3" s="105" t="s">
        <v>29</v>
      </c>
      <c r="AJ3" s="106"/>
      <c r="AK3" s="106"/>
      <c r="AL3" s="106"/>
      <c r="AM3" s="106"/>
      <c r="AN3" s="107"/>
      <c r="AO3" s="105" t="s">
        <v>30</v>
      </c>
      <c r="AP3" s="106"/>
      <c r="AQ3" s="106"/>
      <c r="AR3" s="106"/>
      <c r="AS3" s="107"/>
      <c r="AT3" s="103"/>
      <c r="AU3" s="103"/>
      <c r="AV3" s="103"/>
      <c r="AW3" s="4" t="s">
        <v>31</v>
      </c>
      <c r="AX3" s="105" t="s">
        <v>29</v>
      </c>
      <c r="AY3" s="106"/>
      <c r="AZ3" s="106"/>
      <c r="BA3" s="106"/>
      <c r="BB3" s="106"/>
      <c r="BC3" s="107"/>
      <c r="BD3" s="105" t="s">
        <v>30</v>
      </c>
      <c r="BE3" s="106"/>
      <c r="BF3" s="106"/>
      <c r="BG3" s="106"/>
      <c r="BH3" s="106"/>
      <c r="BI3" s="107"/>
      <c r="BJ3" s="103"/>
      <c r="BK3" s="103"/>
      <c r="BL3" s="103"/>
      <c r="BM3" s="4" t="s">
        <v>31</v>
      </c>
      <c r="BN3" s="105" t="s">
        <v>29</v>
      </c>
      <c r="BO3" s="106"/>
      <c r="BP3" s="106"/>
      <c r="BQ3" s="106"/>
      <c r="BR3" s="106"/>
      <c r="BS3" s="107"/>
      <c r="BT3" s="105" t="s">
        <v>30</v>
      </c>
      <c r="BU3" s="106"/>
      <c r="BV3" s="106"/>
      <c r="BW3" s="106"/>
      <c r="BX3" s="107"/>
      <c r="BY3" s="103"/>
      <c r="BZ3" s="103"/>
      <c r="CA3" s="103"/>
      <c r="CB3" s="105" t="s">
        <v>29</v>
      </c>
      <c r="CC3" s="106"/>
      <c r="CD3" s="106"/>
      <c r="CE3" s="106"/>
      <c r="CF3" s="106"/>
      <c r="CG3" s="107"/>
      <c r="CH3" s="105" t="s">
        <v>30</v>
      </c>
      <c r="CI3" s="106"/>
      <c r="CJ3" s="106"/>
      <c r="CK3" s="107"/>
      <c r="CL3" s="103"/>
      <c r="CM3" s="103"/>
      <c r="CN3" s="103"/>
      <c r="CO3" s="105" t="s">
        <v>29</v>
      </c>
      <c r="CP3" s="106"/>
      <c r="CQ3" s="106"/>
      <c r="CR3" s="106"/>
      <c r="CS3" s="106"/>
      <c r="CT3" s="106"/>
      <c r="CU3" s="106"/>
      <c r="CV3" s="107"/>
      <c r="CW3" s="105" t="s">
        <v>30</v>
      </c>
      <c r="CX3" s="106"/>
      <c r="CY3" s="106"/>
      <c r="CZ3" s="106"/>
      <c r="DA3" s="106"/>
      <c r="DB3" s="107"/>
      <c r="DC3" s="103"/>
      <c r="DD3" s="103"/>
      <c r="DE3" s="103"/>
      <c r="DF3" s="105" t="s">
        <v>29</v>
      </c>
      <c r="DG3" s="106"/>
      <c r="DH3" s="106"/>
      <c r="DI3" s="107"/>
      <c r="DJ3" s="105" t="s">
        <v>30</v>
      </c>
      <c r="DK3" s="106"/>
      <c r="DL3" s="106"/>
      <c r="DM3" s="107"/>
      <c r="DN3" s="103"/>
      <c r="DO3" s="103"/>
      <c r="DP3" s="103"/>
      <c r="DQ3" s="105" t="s">
        <v>29</v>
      </c>
      <c r="DR3" s="106"/>
      <c r="DS3" s="106"/>
      <c r="DT3" s="107"/>
      <c r="DU3" s="105" t="s">
        <v>30</v>
      </c>
      <c r="DV3" s="106"/>
      <c r="DW3" s="107"/>
      <c r="DX3" s="103"/>
      <c r="DY3" s="103"/>
      <c r="DZ3" s="103"/>
      <c r="EA3" s="105" t="s">
        <v>29</v>
      </c>
      <c r="EB3" s="106"/>
      <c r="EC3" s="106"/>
      <c r="ED3" s="107"/>
      <c r="EE3" s="105" t="s">
        <v>30</v>
      </c>
      <c r="EF3" s="106"/>
      <c r="EG3" s="106"/>
      <c r="EH3" s="106"/>
      <c r="EI3" s="107"/>
      <c r="EJ3" s="103"/>
      <c r="EK3" s="103"/>
      <c r="EL3" s="103"/>
    </row>
    <row r="4" spans="1:142" s="5" customFormat="1" ht="56.25" customHeight="1">
      <c r="A4" s="6" t="s">
        <v>32</v>
      </c>
      <c r="B4" s="6" t="s">
        <v>33</v>
      </c>
      <c r="C4" s="6" t="s">
        <v>34</v>
      </c>
      <c r="D4" s="6" t="s">
        <v>184</v>
      </c>
      <c r="E4" s="6" t="s">
        <v>35</v>
      </c>
      <c r="F4" s="6" t="s">
        <v>36</v>
      </c>
      <c r="G4" s="20" t="s">
        <v>37</v>
      </c>
      <c r="H4" s="20" t="s">
        <v>38</v>
      </c>
      <c r="I4" s="20" t="s">
        <v>39</v>
      </c>
      <c r="J4" s="23"/>
      <c r="K4" s="6" t="s">
        <v>40</v>
      </c>
      <c r="L4" s="6" t="s">
        <v>41</v>
      </c>
      <c r="M4" s="6"/>
      <c r="N4" s="20"/>
      <c r="O4" s="6"/>
      <c r="P4" s="6"/>
      <c r="Q4" s="6" t="s">
        <v>42</v>
      </c>
      <c r="R4" s="6" t="s">
        <v>43</v>
      </c>
      <c r="S4" s="6" t="s">
        <v>44</v>
      </c>
      <c r="T4" s="6" t="s">
        <v>45</v>
      </c>
      <c r="U4" s="87"/>
      <c r="V4" s="6"/>
      <c r="W4" s="6"/>
      <c r="X4" s="6"/>
      <c r="Y4" s="6" t="s">
        <v>46</v>
      </c>
      <c r="Z4" s="6" t="s">
        <v>47</v>
      </c>
      <c r="AA4" s="6" t="s">
        <v>48</v>
      </c>
      <c r="AB4" s="6" t="s">
        <v>49</v>
      </c>
      <c r="AC4" s="6"/>
      <c r="AD4" s="6"/>
      <c r="AE4" s="6"/>
      <c r="AF4" s="8"/>
      <c r="AG4" s="8"/>
      <c r="AH4" s="9"/>
      <c r="AI4" s="23" t="s">
        <v>22</v>
      </c>
      <c r="AJ4" s="6" t="s">
        <v>17</v>
      </c>
      <c r="AK4" s="6" t="s">
        <v>18</v>
      </c>
      <c r="AL4" s="6" t="s">
        <v>50</v>
      </c>
      <c r="AM4" s="6" t="s">
        <v>51</v>
      </c>
      <c r="AN4" s="6"/>
      <c r="AO4" s="7" t="s">
        <v>22</v>
      </c>
      <c r="AP4" s="6" t="s">
        <v>17</v>
      </c>
      <c r="AQ4" s="6" t="s">
        <v>52</v>
      </c>
      <c r="AR4" s="6" t="s">
        <v>53</v>
      </c>
      <c r="AS4" s="6"/>
      <c r="AT4" s="8"/>
      <c r="AU4" s="8"/>
      <c r="AV4" s="10"/>
      <c r="AW4" s="11"/>
      <c r="AX4" s="7" t="s">
        <v>22</v>
      </c>
      <c r="AY4" s="6" t="s">
        <v>17</v>
      </c>
      <c r="AZ4" s="6" t="s">
        <v>18</v>
      </c>
      <c r="BA4" s="6" t="s">
        <v>54</v>
      </c>
      <c r="BB4" s="6" t="s">
        <v>55</v>
      </c>
      <c r="BC4" s="6"/>
      <c r="BD4" s="7" t="s">
        <v>22</v>
      </c>
      <c r="BE4" s="6" t="s">
        <v>17</v>
      </c>
      <c r="BF4" s="6" t="s">
        <v>18</v>
      </c>
      <c r="BG4" s="6" t="s">
        <v>56</v>
      </c>
      <c r="BH4" s="6" t="s">
        <v>57</v>
      </c>
      <c r="BI4" s="6"/>
      <c r="BJ4" s="8"/>
      <c r="BK4" s="8"/>
      <c r="BL4" s="10"/>
      <c r="BM4" s="12"/>
      <c r="BN4" s="23" t="s">
        <v>22</v>
      </c>
      <c r="BO4" s="20" t="s">
        <v>17</v>
      </c>
      <c r="BP4" s="6" t="s">
        <v>18</v>
      </c>
      <c r="BQ4" s="6" t="s">
        <v>58</v>
      </c>
      <c r="BR4" s="6" t="s">
        <v>59</v>
      </c>
      <c r="BS4" s="6"/>
      <c r="BT4" s="7" t="s">
        <v>22</v>
      </c>
      <c r="BU4" s="6" t="s">
        <v>17</v>
      </c>
      <c r="BV4" s="6" t="s">
        <v>60</v>
      </c>
      <c r="BW4" s="6" t="s">
        <v>61</v>
      </c>
      <c r="BX4" s="6"/>
      <c r="BY4" s="8"/>
      <c r="BZ4" s="8"/>
      <c r="CA4" s="8"/>
      <c r="CB4" s="23" t="s">
        <v>22</v>
      </c>
      <c r="CC4" s="20" t="s">
        <v>17</v>
      </c>
      <c r="CD4" s="6" t="s">
        <v>18</v>
      </c>
      <c r="CE4" s="6" t="s">
        <v>62</v>
      </c>
      <c r="CF4" s="6" t="s">
        <v>59</v>
      </c>
      <c r="CG4" s="6"/>
      <c r="CH4" s="7" t="s">
        <v>22</v>
      </c>
      <c r="CI4" s="6" t="s">
        <v>17</v>
      </c>
      <c r="CJ4" s="6" t="s">
        <v>63</v>
      </c>
      <c r="CK4" s="6"/>
      <c r="CL4" s="8"/>
      <c r="CM4" s="8"/>
      <c r="CN4" s="8"/>
      <c r="CO4" s="7" t="s">
        <v>22</v>
      </c>
      <c r="CP4" s="7" t="s">
        <v>64</v>
      </c>
      <c r="CQ4" s="6" t="s">
        <v>17</v>
      </c>
      <c r="CR4" s="6" t="s">
        <v>65</v>
      </c>
      <c r="CS4" s="6" t="s">
        <v>18</v>
      </c>
      <c r="CT4" s="6" t="s">
        <v>66</v>
      </c>
      <c r="CU4" s="6" t="s">
        <v>59</v>
      </c>
      <c r="CV4" s="6"/>
      <c r="CW4" s="7" t="s">
        <v>22</v>
      </c>
      <c r="CX4" s="6" t="s">
        <v>17</v>
      </c>
      <c r="CY4" s="6" t="s">
        <v>18</v>
      </c>
      <c r="CZ4" s="6" t="s">
        <v>67</v>
      </c>
      <c r="DA4" s="6" t="s">
        <v>68</v>
      </c>
      <c r="DB4" s="6"/>
      <c r="DC4" s="8"/>
      <c r="DD4" s="8"/>
      <c r="DE4" s="8"/>
      <c r="DF4" s="7" t="s">
        <v>22</v>
      </c>
      <c r="DG4" s="6" t="s">
        <v>69</v>
      </c>
      <c r="DH4" s="6" t="s">
        <v>70</v>
      </c>
      <c r="DI4" s="6"/>
      <c r="DJ4" s="6" t="s">
        <v>17</v>
      </c>
      <c r="DK4" s="6" t="s">
        <v>71</v>
      </c>
      <c r="DL4" s="6" t="s">
        <v>72</v>
      </c>
      <c r="DM4" s="6"/>
      <c r="DN4" s="8"/>
      <c r="DO4" s="8"/>
      <c r="DP4" s="10"/>
      <c r="DQ4" s="7" t="s">
        <v>22</v>
      </c>
      <c r="DR4" s="6" t="s">
        <v>73</v>
      </c>
      <c r="DS4" s="6" t="s">
        <v>74</v>
      </c>
      <c r="DT4" s="6"/>
      <c r="DU4" s="6" t="s">
        <v>75</v>
      </c>
      <c r="DV4" s="6" t="s">
        <v>76</v>
      </c>
      <c r="DW4" s="6"/>
      <c r="DX4" s="8"/>
      <c r="DY4" s="8"/>
      <c r="DZ4" s="10"/>
      <c r="EA4" s="7" t="s">
        <v>22</v>
      </c>
      <c r="EB4" s="6" t="s">
        <v>77</v>
      </c>
      <c r="EC4" s="6" t="s">
        <v>78</v>
      </c>
      <c r="ED4" s="6"/>
      <c r="EE4" s="6" t="s">
        <v>79</v>
      </c>
      <c r="EF4" s="6" t="s">
        <v>80</v>
      </c>
      <c r="EG4" s="6" t="s">
        <v>81</v>
      </c>
      <c r="EH4" s="6" t="s">
        <v>82</v>
      </c>
      <c r="EI4" s="6"/>
      <c r="EJ4" s="8"/>
      <c r="EK4" s="8"/>
      <c r="EL4" s="10"/>
    </row>
    <row r="5" spans="1:142" ht="15">
      <c r="A5" s="18">
        <v>51111734</v>
      </c>
      <c r="B5" s="46" t="s">
        <v>83</v>
      </c>
      <c r="C5" s="47" t="s">
        <v>84</v>
      </c>
      <c r="D5" s="115" t="s">
        <v>185</v>
      </c>
      <c r="E5" s="18" t="s">
        <v>85</v>
      </c>
      <c r="F5" s="18" t="s">
        <v>86</v>
      </c>
      <c r="G5" s="17">
        <v>45909</v>
      </c>
      <c r="H5" s="16" t="s">
        <v>87</v>
      </c>
      <c r="I5" s="26" t="s">
        <v>88</v>
      </c>
      <c r="J5" s="28"/>
      <c r="K5" s="50"/>
      <c r="L5" s="16"/>
      <c r="M5" s="16"/>
      <c r="N5" s="22"/>
      <c r="O5" s="16"/>
      <c r="P5" s="16">
        <v>38</v>
      </c>
      <c r="Q5" s="16">
        <v>28</v>
      </c>
      <c r="R5" s="16">
        <v>48</v>
      </c>
      <c r="S5" s="16">
        <v>33</v>
      </c>
      <c r="T5" s="16">
        <v>38</v>
      </c>
      <c r="U5" s="88">
        <f t="shared" ref="U5:U22" si="0">(Q5*0.25+R5*0.125+S5*0.25+T5*0.125)/0.75</f>
        <v>34.666666666666664</v>
      </c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24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>
        <v>60</v>
      </c>
      <c r="AY5" s="16">
        <v>53</v>
      </c>
      <c r="AZ5" s="16">
        <v>67</v>
      </c>
      <c r="BA5" s="16">
        <v>78</v>
      </c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31">
        <v>66</v>
      </c>
      <c r="BO5" s="31">
        <v>43</v>
      </c>
      <c r="BP5" s="31">
        <v>29</v>
      </c>
      <c r="BQ5" s="16">
        <v>45</v>
      </c>
      <c r="BR5" s="16"/>
      <c r="BS5" s="16"/>
      <c r="BT5" s="16"/>
      <c r="BU5" s="16"/>
      <c r="BV5" s="16"/>
      <c r="BW5" s="16"/>
      <c r="BX5" s="31"/>
      <c r="BY5" s="31"/>
      <c r="BZ5" s="31"/>
      <c r="CA5" s="31"/>
      <c r="CB5" s="19"/>
      <c r="CC5" s="25"/>
      <c r="CD5" s="19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25">
        <v>51</v>
      </c>
      <c r="CP5" s="25">
        <v>60</v>
      </c>
      <c r="CQ5" s="25">
        <v>95</v>
      </c>
      <c r="CR5" s="25"/>
      <c r="CS5" s="25">
        <v>42</v>
      </c>
      <c r="CT5" s="31">
        <v>77</v>
      </c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</row>
    <row r="6" spans="1:142" ht="15">
      <c r="A6" s="18">
        <v>51111735</v>
      </c>
      <c r="B6" s="46" t="s">
        <v>89</v>
      </c>
      <c r="C6" s="47" t="s">
        <v>90</v>
      </c>
      <c r="D6" s="47" t="s">
        <v>186</v>
      </c>
      <c r="E6" s="16" t="s">
        <v>85</v>
      </c>
      <c r="F6" s="16" t="s">
        <v>86</v>
      </c>
      <c r="G6" s="17">
        <v>45909</v>
      </c>
      <c r="H6" s="16" t="s">
        <v>91</v>
      </c>
      <c r="I6" s="26" t="s">
        <v>88</v>
      </c>
      <c r="J6" s="28"/>
      <c r="K6" s="50"/>
      <c r="L6" s="16"/>
      <c r="M6" s="16"/>
      <c r="N6" s="22"/>
      <c r="O6" s="16"/>
      <c r="P6" s="31">
        <v>68</v>
      </c>
      <c r="Q6" s="16">
        <v>65</v>
      </c>
      <c r="R6" s="16">
        <v>65</v>
      </c>
      <c r="S6" s="16">
        <v>40</v>
      </c>
      <c r="T6" s="16">
        <v>56</v>
      </c>
      <c r="U6" s="88">
        <f t="shared" si="0"/>
        <v>55.166666666666664</v>
      </c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24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31"/>
      <c r="AY6" s="31"/>
      <c r="AZ6" s="31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31"/>
      <c r="BO6" s="31"/>
      <c r="BP6" s="31"/>
      <c r="BQ6" s="16"/>
      <c r="BR6" s="16"/>
      <c r="BS6" s="16"/>
      <c r="BT6" s="16"/>
      <c r="BU6" s="16"/>
      <c r="BV6" s="16"/>
      <c r="BW6" s="16"/>
      <c r="BX6" s="31"/>
      <c r="BY6" s="31"/>
      <c r="BZ6" s="31"/>
      <c r="CA6" s="31"/>
      <c r="CB6" s="31"/>
      <c r="CC6" s="25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25"/>
      <c r="CP6" s="25"/>
      <c r="CQ6" s="25"/>
      <c r="CR6" s="25"/>
      <c r="CS6" s="25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>
        <v>70</v>
      </c>
      <c r="DG6" s="16">
        <v>67</v>
      </c>
      <c r="DH6" s="16"/>
      <c r="DI6" s="16"/>
      <c r="DJ6" s="16"/>
      <c r="DK6" s="16"/>
      <c r="DL6" s="16"/>
      <c r="DM6" s="16"/>
      <c r="DN6" s="16"/>
      <c r="DO6" s="16"/>
      <c r="DP6" s="16"/>
      <c r="DQ6" s="31">
        <v>83</v>
      </c>
      <c r="DR6" s="16">
        <v>58</v>
      </c>
      <c r="DS6" s="16"/>
      <c r="DT6" s="16"/>
      <c r="DU6" s="16"/>
      <c r="DV6" s="16"/>
      <c r="DW6" s="16"/>
      <c r="DX6" s="16"/>
      <c r="DY6" s="16"/>
      <c r="DZ6" s="16"/>
      <c r="EA6" s="31">
        <v>74</v>
      </c>
      <c r="EB6" s="16">
        <v>72</v>
      </c>
      <c r="EC6" s="16"/>
      <c r="ED6" s="16"/>
      <c r="EE6" s="16"/>
      <c r="EF6" s="16"/>
      <c r="EG6" s="16"/>
      <c r="EH6" s="16"/>
      <c r="EI6" s="16"/>
      <c r="EJ6" s="16"/>
      <c r="EK6" s="16"/>
      <c r="EL6" s="16"/>
    </row>
    <row r="7" spans="1:142" ht="15">
      <c r="A7" s="38">
        <v>51111736</v>
      </c>
      <c r="B7" s="56" t="s">
        <v>92</v>
      </c>
      <c r="C7" s="47" t="s">
        <v>93</v>
      </c>
      <c r="D7" s="47" t="s">
        <v>187</v>
      </c>
      <c r="E7" s="16" t="s">
        <v>85</v>
      </c>
      <c r="F7" s="16" t="s">
        <v>86</v>
      </c>
      <c r="G7" s="17">
        <v>45909</v>
      </c>
      <c r="H7" s="16" t="s">
        <v>94</v>
      </c>
      <c r="I7" s="26" t="s">
        <v>88</v>
      </c>
      <c r="J7" s="28"/>
      <c r="K7" s="27"/>
      <c r="L7" s="19"/>
      <c r="M7" s="19"/>
      <c r="N7" s="22"/>
      <c r="O7" s="19"/>
      <c r="P7" s="31">
        <v>35</v>
      </c>
      <c r="Q7" s="31">
        <v>40</v>
      </c>
      <c r="R7" s="31">
        <v>65</v>
      </c>
      <c r="S7" s="31">
        <v>30</v>
      </c>
      <c r="T7" s="31">
        <v>52</v>
      </c>
      <c r="U7" s="88">
        <f t="shared" si="0"/>
        <v>42.833333333333336</v>
      </c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24">
        <v>21</v>
      </c>
      <c r="AJ7" s="31"/>
      <c r="AK7" s="31"/>
      <c r="AL7" s="16" t="s">
        <v>95</v>
      </c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>
        <v>28</v>
      </c>
      <c r="BO7" s="31">
        <v>48</v>
      </c>
      <c r="BP7" s="31">
        <v>29</v>
      </c>
      <c r="BQ7" s="31">
        <v>26</v>
      </c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>
        <v>43</v>
      </c>
      <c r="CC7" s="25">
        <v>16</v>
      </c>
      <c r="CD7" s="31">
        <v>44</v>
      </c>
      <c r="CE7" s="31">
        <v>51</v>
      </c>
      <c r="CF7" s="31"/>
      <c r="CG7" s="31"/>
      <c r="CH7" s="31"/>
      <c r="CI7" s="31"/>
      <c r="CJ7" s="31"/>
      <c r="CK7" s="31"/>
      <c r="CL7" s="31"/>
      <c r="CM7" s="31"/>
      <c r="CN7" s="31"/>
      <c r="CO7" s="25"/>
      <c r="CP7" s="25"/>
      <c r="CQ7" s="25"/>
      <c r="CR7" s="25"/>
      <c r="CS7" s="25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</row>
    <row r="8" spans="1:142" ht="15">
      <c r="A8" s="18">
        <v>51111737</v>
      </c>
      <c r="B8" s="46" t="s">
        <v>96</v>
      </c>
      <c r="C8" s="47" t="s">
        <v>93</v>
      </c>
      <c r="D8" s="47" t="s">
        <v>188</v>
      </c>
      <c r="E8" s="16" t="s">
        <v>85</v>
      </c>
      <c r="F8" s="16" t="s">
        <v>86</v>
      </c>
      <c r="G8" s="17">
        <v>45909</v>
      </c>
      <c r="H8" s="16" t="s">
        <v>94</v>
      </c>
      <c r="I8" s="26" t="s">
        <v>88</v>
      </c>
      <c r="J8" s="28"/>
      <c r="K8" s="27"/>
      <c r="L8" s="19"/>
      <c r="M8" s="19"/>
      <c r="N8" s="22"/>
      <c r="O8" s="19"/>
      <c r="P8" s="31">
        <v>58</v>
      </c>
      <c r="Q8" s="31">
        <v>63</v>
      </c>
      <c r="R8" s="31">
        <v>68</v>
      </c>
      <c r="S8" s="31">
        <v>70</v>
      </c>
      <c r="T8" s="31">
        <v>64</v>
      </c>
      <c r="U8" s="88">
        <f t="shared" si="0"/>
        <v>66.333333333333329</v>
      </c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24">
        <v>71</v>
      </c>
      <c r="AJ8" s="31"/>
      <c r="AK8" s="31"/>
      <c r="AL8" s="16">
        <v>74</v>
      </c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>
        <v>76</v>
      </c>
      <c r="BO8" s="31">
        <v>95</v>
      </c>
      <c r="BP8" s="31">
        <v>79</v>
      </c>
      <c r="BQ8" s="31">
        <v>69</v>
      </c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>
        <v>96</v>
      </c>
      <c r="CC8" s="25">
        <v>82</v>
      </c>
      <c r="CD8" s="31">
        <v>92</v>
      </c>
      <c r="CE8" s="31">
        <v>81</v>
      </c>
      <c r="CF8" s="31"/>
      <c r="CG8" s="31"/>
      <c r="CH8" s="31"/>
      <c r="CI8" s="31"/>
      <c r="CJ8" s="31"/>
      <c r="CK8" s="31"/>
      <c r="CL8" s="31"/>
      <c r="CM8" s="31"/>
      <c r="CN8" s="31"/>
      <c r="CO8" s="25"/>
      <c r="CP8" s="25"/>
      <c r="CQ8" s="25"/>
      <c r="CR8" s="25"/>
      <c r="CS8" s="25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</row>
    <row r="9" spans="1:142" ht="15">
      <c r="A9" s="18">
        <v>51111738</v>
      </c>
      <c r="B9" s="46" t="s">
        <v>97</v>
      </c>
      <c r="C9" s="47" t="s">
        <v>93</v>
      </c>
      <c r="D9" s="47" t="s">
        <v>189</v>
      </c>
      <c r="E9" s="16" t="s">
        <v>85</v>
      </c>
      <c r="F9" s="16" t="s">
        <v>86</v>
      </c>
      <c r="G9" s="17">
        <v>45909</v>
      </c>
      <c r="H9" s="16" t="s">
        <v>91</v>
      </c>
      <c r="I9" s="26" t="s">
        <v>88</v>
      </c>
      <c r="J9" s="28"/>
      <c r="K9" s="27"/>
      <c r="L9" s="19"/>
      <c r="M9" s="19"/>
      <c r="N9" s="22"/>
      <c r="O9" s="19"/>
      <c r="P9" s="31">
        <v>58</v>
      </c>
      <c r="Q9" s="31">
        <v>40</v>
      </c>
      <c r="R9" s="31">
        <v>69</v>
      </c>
      <c r="S9" s="31">
        <v>50</v>
      </c>
      <c r="T9" s="31">
        <v>62</v>
      </c>
      <c r="U9" s="88">
        <f t="shared" si="0"/>
        <v>51.833333333333336</v>
      </c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93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53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25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25"/>
      <c r="CP9" s="25"/>
      <c r="CQ9" s="25"/>
      <c r="CR9" s="25"/>
      <c r="CS9" s="25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>
        <v>75</v>
      </c>
      <c r="DG9" s="31">
        <v>80</v>
      </c>
      <c r="DH9" s="31"/>
      <c r="DI9" s="31"/>
      <c r="DJ9" s="31"/>
      <c r="DK9" s="31"/>
      <c r="DL9" s="31"/>
      <c r="DM9" s="31"/>
      <c r="DN9" s="31"/>
      <c r="DO9" s="31"/>
      <c r="DP9" s="31"/>
      <c r="DQ9" s="31">
        <v>85</v>
      </c>
      <c r="DR9" s="31">
        <v>70</v>
      </c>
      <c r="DS9" s="31"/>
      <c r="DT9" s="31"/>
      <c r="DU9" s="31"/>
      <c r="DV9" s="31"/>
      <c r="DW9" s="31"/>
      <c r="DX9" s="31"/>
      <c r="DY9" s="31"/>
      <c r="DZ9" s="31"/>
      <c r="EA9" s="31">
        <v>84</v>
      </c>
      <c r="EB9" s="31">
        <v>74</v>
      </c>
      <c r="EC9" s="31"/>
      <c r="ED9" s="31"/>
      <c r="EE9" s="31"/>
      <c r="EF9" s="31"/>
      <c r="EG9" s="31"/>
      <c r="EH9" s="31"/>
      <c r="EI9" s="31"/>
      <c r="EJ9" s="31"/>
      <c r="EK9" s="31"/>
      <c r="EL9" s="31"/>
    </row>
    <row r="10" spans="1:142" ht="15">
      <c r="A10" s="38">
        <v>51111739</v>
      </c>
      <c r="B10" s="56" t="s">
        <v>98</v>
      </c>
      <c r="C10" s="47" t="s">
        <v>99</v>
      </c>
      <c r="D10" s="47" t="s">
        <v>190</v>
      </c>
      <c r="E10" s="16" t="s">
        <v>85</v>
      </c>
      <c r="F10" s="16" t="s">
        <v>86</v>
      </c>
      <c r="G10" s="17">
        <v>45909</v>
      </c>
      <c r="H10" s="16" t="s">
        <v>94</v>
      </c>
      <c r="I10" s="26" t="s">
        <v>88</v>
      </c>
      <c r="J10" s="28"/>
      <c r="K10" s="27"/>
      <c r="L10" s="19"/>
      <c r="M10" s="19"/>
      <c r="N10" s="22"/>
      <c r="O10" s="19"/>
      <c r="P10" s="16">
        <v>35</v>
      </c>
      <c r="Q10" s="31">
        <v>20</v>
      </c>
      <c r="R10" s="31">
        <v>53</v>
      </c>
      <c r="S10" s="31">
        <v>23</v>
      </c>
      <c r="T10" s="31">
        <v>44</v>
      </c>
      <c r="U10" s="88">
        <f t="shared" si="0"/>
        <v>30.5</v>
      </c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44">
        <v>31</v>
      </c>
      <c r="AJ10" s="31"/>
      <c r="AK10" s="31"/>
      <c r="AL10" s="31">
        <v>71</v>
      </c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16">
        <v>33</v>
      </c>
      <c r="AY10" s="16">
        <v>17</v>
      </c>
      <c r="AZ10" s="16">
        <v>60</v>
      </c>
      <c r="BA10" s="31">
        <v>18</v>
      </c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16">
        <v>38</v>
      </c>
      <c r="BO10" s="16">
        <v>21</v>
      </c>
      <c r="BP10" s="16">
        <v>14</v>
      </c>
      <c r="BQ10" s="31">
        <v>14</v>
      </c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16"/>
      <c r="CC10" s="45"/>
      <c r="CD10" s="16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45"/>
      <c r="CP10" s="45"/>
      <c r="CQ10" s="45"/>
      <c r="CR10" s="45"/>
      <c r="CS10" s="45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16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16"/>
      <c r="DR10" s="31"/>
      <c r="DS10" s="31"/>
      <c r="DT10" s="31"/>
      <c r="DU10" s="31"/>
      <c r="DV10" s="31"/>
      <c r="DW10" s="31"/>
      <c r="DX10" s="31"/>
      <c r="DY10" s="31"/>
      <c r="DZ10" s="31"/>
      <c r="EA10" s="16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</row>
    <row r="11" spans="1:142" ht="15">
      <c r="A11" s="18">
        <v>51111740</v>
      </c>
      <c r="B11" s="46" t="s">
        <v>100</v>
      </c>
      <c r="C11" s="47" t="s">
        <v>101</v>
      </c>
      <c r="D11" s="47" t="s">
        <v>191</v>
      </c>
      <c r="E11" s="16" t="s">
        <v>85</v>
      </c>
      <c r="F11" s="16" t="s">
        <v>86</v>
      </c>
      <c r="G11" s="17">
        <v>45909</v>
      </c>
      <c r="H11" s="16" t="s">
        <v>91</v>
      </c>
      <c r="I11" s="26" t="s">
        <v>88</v>
      </c>
      <c r="J11" s="28"/>
      <c r="K11" s="50"/>
      <c r="L11" s="16"/>
      <c r="M11" s="16"/>
      <c r="N11" s="22"/>
      <c r="O11" s="16"/>
      <c r="P11" s="31">
        <v>43</v>
      </c>
      <c r="Q11" s="16">
        <v>65</v>
      </c>
      <c r="R11" s="16">
        <v>64</v>
      </c>
      <c r="S11" s="16">
        <v>40</v>
      </c>
      <c r="T11" s="16">
        <v>52</v>
      </c>
      <c r="U11" s="88">
        <f t="shared" si="0"/>
        <v>54.333333333333336</v>
      </c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24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31"/>
      <c r="AY11" s="31"/>
      <c r="AZ11" s="31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31"/>
      <c r="BO11" s="31"/>
      <c r="BP11" s="31"/>
      <c r="BQ11" s="16"/>
      <c r="BR11" s="16"/>
      <c r="BS11" s="16"/>
      <c r="BT11" s="16"/>
      <c r="BU11" s="16"/>
      <c r="BV11" s="16"/>
      <c r="BW11" s="16"/>
      <c r="BX11" s="31"/>
      <c r="BY11" s="31"/>
      <c r="BZ11" s="31"/>
      <c r="CA11" s="31"/>
      <c r="CB11" s="31"/>
      <c r="CC11" s="25"/>
      <c r="CD11" s="31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25"/>
      <c r="CP11" s="25"/>
      <c r="CQ11" s="25"/>
      <c r="CR11" s="25"/>
      <c r="CS11" s="25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31">
        <v>70</v>
      </c>
      <c r="DG11" s="16">
        <v>71</v>
      </c>
      <c r="DH11" s="16"/>
      <c r="DI11" s="16"/>
      <c r="DJ11" s="16"/>
      <c r="DK11" s="16"/>
      <c r="DL11" s="16"/>
      <c r="DM11" s="16"/>
      <c r="DN11" s="16"/>
      <c r="DO11" s="16"/>
      <c r="DP11" s="16"/>
      <c r="DQ11" s="31">
        <v>78</v>
      </c>
      <c r="DR11" s="16">
        <v>70</v>
      </c>
      <c r="DS11" s="16"/>
      <c r="DT11" s="16"/>
      <c r="DU11" s="16"/>
      <c r="DV11" s="16"/>
      <c r="DW11" s="16"/>
      <c r="DX11" s="16"/>
      <c r="DY11" s="16"/>
      <c r="DZ11" s="16"/>
      <c r="EA11" s="31">
        <v>74</v>
      </c>
      <c r="EB11" s="16">
        <v>71</v>
      </c>
      <c r="EC11" s="16"/>
      <c r="ED11" s="16"/>
      <c r="EE11" s="16"/>
      <c r="EF11" s="16"/>
      <c r="EG11" s="16"/>
      <c r="EH11" s="16"/>
      <c r="EI11" s="16"/>
      <c r="EJ11" s="16"/>
      <c r="EK11" s="16"/>
      <c r="EL11" s="16"/>
    </row>
    <row r="12" spans="1:142" ht="15">
      <c r="A12" s="38">
        <v>51111741</v>
      </c>
      <c r="B12" s="55" t="s">
        <v>102</v>
      </c>
      <c r="C12" s="47" t="s">
        <v>103</v>
      </c>
      <c r="D12" s="115" t="s">
        <v>192</v>
      </c>
      <c r="E12" s="18" t="s">
        <v>85</v>
      </c>
      <c r="F12" s="18" t="s">
        <v>86</v>
      </c>
      <c r="G12" s="17">
        <v>45909</v>
      </c>
      <c r="H12" s="16" t="s">
        <v>94</v>
      </c>
      <c r="I12" s="26" t="s">
        <v>88</v>
      </c>
      <c r="J12" s="28"/>
      <c r="K12" s="27"/>
      <c r="L12" s="19"/>
      <c r="M12" s="19"/>
      <c r="N12" s="22"/>
      <c r="O12" s="19"/>
      <c r="P12" s="16">
        <v>33</v>
      </c>
      <c r="Q12" s="31">
        <v>48</v>
      </c>
      <c r="R12" s="31">
        <v>40</v>
      </c>
      <c r="S12" s="31">
        <v>30</v>
      </c>
      <c r="T12" s="31">
        <v>48</v>
      </c>
      <c r="U12" s="88">
        <f t="shared" si="0"/>
        <v>40.666666666666664</v>
      </c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24">
        <v>66</v>
      </c>
      <c r="AJ12" s="31"/>
      <c r="AK12" s="31"/>
      <c r="AL12" s="31">
        <v>72</v>
      </c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16">
        <v>40</v>
      </c>
      <c r="AY12" s="16">
        <v>20</v>
      </c>
      <c r="AZ12" s="16">
        <v>93</v>
      </c>
      <c r="BA12" s="31">
        <v>35</v>
      </c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>
        <v>53</v>
      </c>
      <c r="BO12" s="31">
        <v>39</v>
      </c>
      <c r="BP12" s="31">
        <v>68</v>
      </c>
      <c r="BQ12" s="31">
        <v>21</v>
      </c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25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25"/>
      <c r="CP12" s="25"/>
      <c r="CQ12" s="25"/>
      <c r="CR12" s="25"/>
      <c r="CS12" s="25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16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16"/>
      <c r="DR12" s="31"/>
      <c r="DS12" s="31"/>
      <c r="DT12" s="31"/>
      <c r="DU12" s="31"/>
      <c r="DV12" s="31"/>
      <c r="DW12" s="31"/>
      <c r="DX12" s="31"/>
      <c r="DY12" s="31"/>
      <c r="DZ12" s="31"/>
      <c r="EA12" s="16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</row>
    <row r="13" spans="1:142" ht="15">
      <c r="A13" s="18">
        <v>51111742</v>
      </c>
      <c r="B13" s="46" t="s">
        <v>104</v>
      </c>
      <c r="C13" s="47" t="s">
        <v>105</v>
      </c>
      <c r="D13" s="47" t="s">
        <v>193</v>
      </c>
      <c r="E13" s="16" t="s">
        <v>85</v>
      </c>
      <c r="F13" s="16" t="s">
        <v>86</v>
      </c>
      <c r="G13" s="17">
        <v>45909</v>
      </c>
      <c r="H13" s="16" t="s">
        <v>91</v>
      </c>
      <c r="I13" s="26" t="s">
        <v>88</v>
      </c>
      <c r="J13" s="28"/>
      <c r="K13" s="27"/>
      <c r="L13" s="19"/>
      <c r="M13" s="19"/>
      <c r="N13" s="22"/>
      <c r="O13" s="19"/>
      <c r="P13" s="31">
        <v>63</v>
      </c>
      <c r="Q13" s="31">
        <v>65</v>
      </c>
      <c r="R13" s="31">
        <v>64</v>
      </c>
      <c r="S13" s="31">
        <v>65</v>
      </c>
      <c r="T13" s="31">
        <v>63</v>
      </c>
      <c r="U13" s="88">
        <f t="shared" si="0"/>
        <v>64.5</v>
      </c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24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25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25"/>
      <c r="CP13" s="25"/>
      <c r="CQ13" s="25"/>
      <c r="CR13" s="25"/>
      <c r="CS13" s="25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>
        <v>73</v>
      </c>
      <c r="DG13" s="31">
        <v>78</v>
      </c>
      <c r="DH13" s="31"/>
      <c r="DI13" s="31"/>
      <c r="DJ13" s="31"/>
      <c r="DK13" s="31"/>
      <c r="DL13" s="31"/>
      <c r="DM13" s="31"/>
      <c r="DN13" s="31"/>
      <c r="DO13" s="31"/>
      <c r="DP13" s="31"/>
      <c r="DQ13" s="31">
        <v>83</v>
      </c>
      <c r="DR13" s="31">
        <v>67</v>
      </c>
      <c r="DS13" s="31"/>
      <c r="DT13" s="31"/>
      <c r="DU13" s="31"/>
      <c r="DV13" s="31"/>
      <c r="DW13" s="31"/>
      <c r="DX13" s="31"/>
      <c r="DY13" s="31"/>
      <c r="DZ13" s="31"/>
      <c r="EA13" s="31">
        <v>79</v>
      </c>
      <c r="EB13" s="31">
        <v>72</v>
      </c>
      <c r="EC13" s="31"/>
      <c r="ED13" s="31"/>
      <c r="EE13" s="31"/>
      <c r="EF13" s="31"/>
      <c r="EG13" s="31"/>
      <c r="EH13" s="31"/>
      <c r="EI13" s="31"/>
      <c r="EJ13" s="31"/>
      <c r="EK13" s="31"/>
      <c r="EL13" s="31"/>
    </row>
    <row r="14" spans="1:142" ht="15">
      <c r="A14" s="18">
        <v>51111743</v>
      </c>
      <c r="B14" s="46" t="s">
        <v>106</v>
      </c>
      <c r="C14" s="47" t="s">
        <v>107</v>
      </c>
      <c r="D14" s="47" t="s">
        <v>194</v>
      </c>
      <c r="E14" s="16" t="s">
        <v>85</v>
      </c>
      <c r="F14" s="16" t="s">
        <v>86</v>
      </c>
      <c r="G14" s="17">
        <v>45909</v>
      </c>
      <c r="H14" s="16" t="s">
        <v>91</v>
      </c>
      <c r="I14" s="26" t="s">
        <v>88</v>
      </c>
      <c r="J14" s="28"/>
      <c r="K14" s="27"/>
      <c r="L14" s="19"/>
      <c r="M14" s="19"/>
      <c r="N14" s="22"/>
      <c r="O14" s="19"/>
      <c r="P14" s="92">
        <v>53</v>
      </c>
      <c r="Q14" s="31">
        <v>30</v>
      </c>
      <c r="R14" s="31">
        <v>63</v>
      </c>
      <c r="S14" s="31">
        <v>40</v>
      </c>
      <c r="T14" s="31">
        <v>38</v>
      </c>
      <c r="U14" s="88">
        <f t="shared" si="0"/>
        <v>40.166666666666664</v>
      </c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24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53"/>
      <c r="BY14" s="53"/>
      <c r="BZ14" s="53"/>
      <c r="CA14" s="32"/>
      <c r="CB14" s="31"/>
      <c r="CC14" s="25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25"/>
      <c r="CP14" s="25"/>
      <c r="CQ14" s="25"/>
      <c r="CR14" s="25"/>
      <c r="CS14" s="25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92">
        <v>65</v>
      </c>
      <c r="DG14" s="31">
        <v>64</v>
      </c>
      <c r="DH14" s="31"/>
      <c r="DI14" s="31"/>
      <c r="DJ14" s="31"/>
      <c r="DK14" s="31"/>
      <c r="DL14" s="31"/>
      <c r="DM14" s="31"/>
      <c r="DN14" s="31"/>
      <c r="DO14" s="31"/>
      <c r="DP14" s="31"/>
      <c r="DQ14" s="92">
        <v>77</v>
      </c>
      <c r="DR14" s="31">
        <v>0</v>
      </c>
      <c r="DS14" s="31"/>
      <c r="DT14" s="31"/>
      <c r="DU14" s="31"/>
      <c r="DV14" s="31"/>
      <c r="DW14" s="31"/>
      <c r="DX14" s="31"/>
      <c r="DY14" s="31"/>
      <c r="DZ14" s="31"/>
      <c r="EA14" s="92">
        <v>74</v>
      </c>
      <c r="EB14" s="31">
        <v>69</v>
      </c>
      <c r="EC14" s="31"/>
      <c r="ED14" s="31"/>
      <c r="EE14" s="31"/>
      <c r="EF14" s="31"/>
      <c r="EG14" s="31"/>
      <c r="EH14" s="31"/>
      <c r="EI14" s="31"/>
      <c r="EJ14" s="31"/>
      <c r="EK14" s="31"/>
      <c r="EL14" s="31"/>
    </row>
    <row r="15" spans="1:142" ht="15">
      <c r="A15" s="16">
        <v>51111744</v>
      </c>
      <c r="B15" s="46" t="s">
        <v>108</v>
      </c>
      <c r="C15" s="47" t="s">
        <v>109</v>
      </c>
      <c r="D15" s="47" t="s">
        <v>195</v>
      </c>
      <c r="E15" s="16" t="s">
        <v>85</v>
      </c>
      <c r="F15" s="16" t="s">
        <v>86</v>
      </c>
      <c r="G15" s="17">
        <v>45909</v>
      </c>
      <c r="H15" s="16" t="s">
        <v>94</v>
      </c>
      <c r="I15" s="26" t="s">
        <v>88</v>
      </c>
      <c r="J15" s="28"/>
      <c r="K15" s="27"/>
      <c r="L15" s="19"/>
      <c r="M15" s="19"/>
      <c r="N15" s="22"/>
      <c r="O15" s="19"/>
      <c r="P15" s="31">
        <v>48</v>
      </c>
      <c r="Q15" s="31">
        <v>60</v>
      </c>
      <c r="R15" s="31">
        <v>74</v>
      </c>
      <c r="S15" s="31">
        <v>78</v>
      </c>
      <c r="T15" s="31">
        <v>70</v>
      </c>
      <c r="U15" s="88">
        <f t="shared" si="0"/>
        <v>70</v>
      </c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24">
        <v>78</v>
      </c>
      <c r="AJ15" s="31"/>
      <c r="AK15" s="31"/>
      <c r="AL15" s="31">
        <v>77</v>
      </c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>
        <v>93</v>
      </c>
      <c r="AY15" s="31">
        <v>100</v>
      </c>
      <c r="AZ15" s="31">
        <v>100</v>
      </c>
      <c r="BA15" s="31">
        <v>96</v>
      </c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>
        <v>56</v>
      </c>
      <c r="BO15" s="31">
        <v>88</v>
      </c>
      <c r="BP15" s="31">
        <v>97</v>
      </c>
      <c r="BQ15" s="31">
        <v>75</v>
      </c>
      <c r="BR15" s="31"/>
      <c r="BS15" s="31"/>
      <c r="BT15" s="31"/>
      <c r="BU15" s="31"/>
      <c r="BV15" s="31"/>
      <c r="BW15" s="90"/>
      <c r="BX15" s="31"/>
      <c r="BY15" s="31"/>
      <c r="BZ15" s="31"/>
      <c r="CA15" s="91"/>
      <c r="CB15" s="31"/>
      <c r="CC15" s="25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25"/>
      <c r="CP15" s="25"/>
      <c r="CQ15" s="25"/>
      <c r="CR15" s="25"/>
      <c r="CS15" s="25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</row>
    <row r="16" spans="1:142" ht="15">
      <c r="A16" s="85">
        <v>51111745</v>
      </c>
      <c r="B16" s="55" t="s">
        <v>110</v>
      </c>
      <c r="C16" s="47" t="s">
        <v>111</v>
      </c>
      <c r="D16" s="47" t="s">
        <v>196</v>
      </c>
      <c r="E16" s="16" t="s">
        <v>85</v>
      </c>
      <c r="F16" s="16" t="s">
        <v>86</v>
      </c>
      <c r="G16" s="17">
        <v>45909</v>
      </c>
      <c r="H16" s="16" t="s">
        <v>94</v>
      </c>
      <c r="I16" s="26" t="s">
        <v>88</v>
      </c>
      <c r="J16" s="28"/>
      <c r="K16" s="27"/>
      <c r="L16" s="19"/>
      <c r="M16" s="19"/>
      <c r="N16" s="22"/>
      <c r="O16" s="19"/>
      <c r="P16" s="31">
        <v>38</v>
      </c>
      <c r="Q16" s="31">
        <v>30</v>
      </c>
      <c r="R16" s="31">
        <v>48</v>
      </c>
      <c r="S16" s="31">
        <v>60</v>
      </c>
      <c r="T16" s="31">
        <v>56</v>
      </c>
      <c r="U16" s="88">
        <f t="shared" si="0"/>
        <v>47.333333333333336</v>
      </c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24">
        <v>65</v>
      </c>
      <c r="AJ16" s="31"/>
      <c r="AK16" s="31"/>
      <c r="AL16" s="31">
        <v>81</v>
      </c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>
        <v>53</v>
      </c>
      <c r="BO16" s="31">
        <v>41</v>
      </c>
      <c r="BP16" s="31">
        <v>63</v>
      </c>
      <c r="BQ16" s="31">
        <v>63</v>
      </c>
      <c r="BR16" s="31"/>
      <c r="BS16" s="31"/>
      <c r="BT16" s="31"/>
      <c r="BU16" s="31"/>
      <c r="BV16" s="31"/>
      <c r="BW16" s="90"/>
      <c r="BX16" s="31"/>
      <c r="BY16" s="31"/>
      <c r="BZ16" s="31"/>
      <c r="CA16" s="91"/>
      <c r="CB16" s="31">
        <v>73</v>
      </c>
      <c r="CC16" s="25">
        <v>39</v>
      </c>
      <c r="CD16" s="31">
        <v>83</v>
      </c>
      <c r="CE16" s="31">
        <v>74</v>
      </c>
      <c r="CF16" s="31"/>
      <c r="CG16" s="31"/>
      <c r="CH16" s="31"/>
      <c r="CI16" s="31"/>
      <c r="CJ16" s="31"/>
      <c r="CK16" s="31"/>
      <c r="CL16" s="31"/>
      <c r="CM16" s="31"/>
      <c r="CN16" s="31"/>
      <c r="CO16" s="25"/>
      <c r="CP16" s="25"/>
      <c r="CQ16" s="25"/>
      <c r="CR16" s="25"/>
      <c r="CS16" s="25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</row>
    <row r="17" spans="1:142" ht="15">
      <c r="A17" s="18">
        <v>51111746</v>
      </c>
      <c r="B17" s="46" t="s">
        <v>112</v>
      </c>
      <c r="C17" s="47" t="s">
        <v>113</v>
      </c>
      <c r="D17" s="115" t="s">
        <v>197</v>
      </c>
      <c r="E17" s="18" t="s">
        <v>85</v>
      </c>
      <c r="F17" s="18" t="s">
        <v>86</v>
      </c>
      <c r="G17" s="17">
        <v>45909</v>
      </c>
      <c r="H17" s="16" t="s">
        <v>87</v>
      </c>
      <c r="I17" s="26" t="s">
        <v>88</v>
      </c>
      <c r="J17" s="28"/>
      <c r="K17" s="51"/>
      <c r="L17" s="52"/>
      <c r="M17" s="52"/>
      <c r="N17" s="22"/>
      <c r="O17" s="52"/>
      <c r="P17" s="53">
        <v>45</v>
      </c>
      <c r="Q17" s="53">
        <v>28</v>
      </c>
      <c r="R17" s="53">
        <v>63</v>
      </c>
      <c r="S17" s="53">
        <v>50</v>
      </c>
      <c r="T17" s="53">
        <v>62</v>
      </c>
      <c r="U17" s="88">
        <f t="shared" si="0"/>
        <v>46.833333333333336</v>
      </c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24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>
        <v>88</v>
      </c>
      <c r="AY17" s="53">
        <v>90</v>
      </c>
      <c r="AZ17" s="53">
        <v>93</v>
      </c>
      <c r="BA17" s="53">
        <v>76</v>
      </c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30">
        <v>91</v>
      </c>
      <c r="BO17" s="30">
        <v>75</v>
      </c>
      <c r="BP17" s="30">
        <v>78</v>
      </c>
      <c r="BQ17" s="53">
        <v>91</v>
      </c>
      <c r="BR17" s="53"/>
      <c r="BS17" s="53"/>
      <c r="BT17" s="53"/>
      <c r="BU17" s="53"/>
      <c r="BV17" s="53"/>
      <c r="BW17" s="94"/>
      <c r="BX17" s="31"/>
      <c r="BY17" s="31"/>
      <c r="BZ17" s="31"/>
      <c r="CA17" s="95"/>
      <c r="CB17" s="30"/>
      <c r="CC17" s="25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25">
        <v>96</v>
      </c>
      <c r="CP17" s="25">
        <v>60</v>
      </c>
      <c r="CQ17" s="25">
        <v>100</v>
      </c>
      <c r="CR17" s="25"/>
      <c r="CS17" s="25">
        <v>85</v>
      </c>
      <c r="CT17" s="30">
        <v>83</v>
      </c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53"/>
      <c r="DG17" s="53"/>
      <c r="DH17" s="53"/>
      <c r="DI17" s="31"/>
      <c r="DJ17" s="31"/>
      <c r="DK17" s="31"/>
      <c r="DL17" s="31"/>
      <c r="DM17" s="31"/>
      <c r="DN17" s="31"/>
      <c r="DO17" s="31"/>
      <c r="DP17" s="31"/>
      <c r="DQ17" s="53"/>
      <c r="DR17" s="53"/>
      <c r="DS17" s="53"/>
      <c r="DT17" s="31"/>
      <c r="DU17" s="31"/>
      <c r="DV17" s="31"/>
      <c r="DW17" s="31"/>
      <c r="DX17" s="31"/>
      <c r="DY17" s="31"/>
      <c r="DZ17" s="31"/>
      <c r="EA17" s="53"/>
      <c r="EB17" s="53"/>
      <c r="EC17" s="53"/>
      <c r="ED17" s="31"/>
      <c r="EE17" s="31"/>
      <c r="EF17" s="31"/>
      <c r="EG17" s="31"/>
      <c r="EH17" s="31"/>
      <c r="EI17" s="31"/>
      <c r="EJ17" s="31"/>
      <c r="EK17" s="31"/>
      <c r="EL17" s="31"/>
    </row>
    <row r="18" spans="1:142" ht="15">
      <c r="A18" s="38">
        <v>51111747</v>
      </c>
      <c r="B18" s="55" t="s">
        <v>114</v>
      </c>
      <c r="C18" s="47" t="s">
        <v>115</v>
      </c>
      <c r="D18" s="115" t="s">
        <v>198</v>
      </c>
      <c r="E18" s="18" t="s">
        <v>85</v>
      </c>
      <c r="F18" s="18" t="s">
        <v>86</v>
      </c>
      <c r="G18" s="17">
        <v>45909</v>
      </c>
      <c r="H18" s="16" t="s">
        <v>94</v>
      </c>
      <c r="I18" s="26" t="s">
        <v>88</v>
      </c>
      <c r="J18" s="28"/>
      <c r="K18" s="27"/>
      <c r="L18" s="19"/>
      <c r="M18" s="19"/>
      <c r="N18" s="22"/>
      <c r="O18" s="19"/>
      <c r="P18" s="31">
        <v>25</v>
      </c>
      <c r="Q18" s="31">
        <v>23</v>
      </c>
      <c r="R18" s="31">
        <v>40</v>
      </c>
      <c r="S18" s="31">
        <v>33</v>
      </c>
      <c r="T18" s="31">
        <v>32</v>
      </c>
      <c r="U18" s="88">
        <f t="shared" si="0"/>
        <v>30.666666666666668</v>
      </c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24">
        <v>65</v>
      </c>
      <c r="AJ18" s="31"/>
      <c r="AK18" s="31"/>
      <c r="AL18" s="31">
        <v>70</v>
      </c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>
        <v>81</v>
      </c>
      <c r="BO18" s="31">
        <v>35</v>
      </c>
      <c r="BP18" s="31">
        <v>16</v>
      </c>
      <c r="BQ18" s="31">
        <v>20</v>
      </c>
      <c r="BR18" s="31"/>
      <c r="BS18" s="31"/>
      <c r="BT18" s="31"/>
      <c r="BU18" s="31"/>
      <c r="BV18" s="31"/>
      <c r="BW18" s="90"/>
      <c r="BX18" s="31"/>
      <c r="BY18" s="31"/>
      <c r="BZ18" s="31"/>
      <c r="CA18" s="91"/>
      <c r="CB18" s="31">
        <v>64</v>
      </c>
      <c r="CC18" s="25">
        <v>14</v>
      </c>
      <c r="CD18" s="31">
        <v>35</v>
      </c>
      <c r="CE18" s="31">
        <v>36</v>
      </c>
      <c r="CF18" s="31"/>
      <c r="CG18" s="31"/>
      <c r="CH18" s="31"/>
      <c r="CI18" s="31"/>
      <c r="CJ18" s="31"/>
      <c r="CK18" s="31"/>
      <c r="CL18" s="31"/>
      <c r="CM18" s="31"/>
      <c r="CN18" s="31"/>
      <c r="CO18" s="25"/>
      <c r="CP18" s="25"/>
      <c r="CQ18" s="25"/>
      <c r="CR18" s="25"/>
      <c r="CS18" s="25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</row>
    <row r="19" spans="1:142" s="34" customFormat="1" ht="15">
      <c r="A19" s="18">
        <v>51111748</v>
      </c>
      <c r="B19" s="46" t="s">
        <v>116</v>
      </c>
      <c r="C19" s="47" t="s">
        <v>117</v>
      </c>
      <c r="D19" s="115" t="s">
        <v>199</v>
      </c>
      <c r="E19" s="18" t="s">
        <v>85</v>
      </c>
      <c r="F19" s="18" t="s">
        <v>86</v>
      </c>
      <c r="G19" s="17">
        <v>45909</v>
      </c>
      <c r="H19" s="16" t="s">
        <v>91</v>
      </c>
      <c r="I19" s="26" t="s">
        <v>88</v>
      </c>
      <c r="J19" s="28"/>
      <c r="K19" s="27"/>
      <c r="L19" s="19"/>
      <c r="M19" s="19"/>
      <c r="N19" s="22"/>
      <c r="O19" s="19"/>
      <c r="P19" s="31">
        <v>30</v>
      </c>
      <c r="Q19" s="31">
        <v>35</v>
      </c>
      <c r="R19" s="31">
        <v>45</v>
      </c>
      <c r="S19" s="98">
        <v>50</v>
      </c>
      <c r="T19" s="31">
        <v>64</v>
      </c>
      <c r="U19" s="88">
        <f t="shared" si="0"/>
        <v>46.5</v>
      </c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24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90"/>
      <c r="BX19" s="31"/>
      <c r="BY19" s="31"/>
      <c r="BZ19" s="31"/>
      <c r="CA19" s="91"/>
      <c r="CB19" s="31"/>
      <c r="CC19" s="25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25"/>
      <c r="CP19" s="25"/>
      <c r="CQ19" s="25"/>
      <c r="CR19" s="25"/>
      <c r="CS19" s="25"/>
      <c r="CT19" s="31"/>
      <c r="CU19" s="31"/>
      <c r="CV19" s="31"/>
      <c r="CW19" s="31"/>
      <c r="CX19" s="31"/>
      <c r="CY19" s="31"/>
      <c r="CZ19" s="31"/>
      <c r="DA19" s="31"/>
      <c r="DB19" s="31"/>
      <c r="DC19" s="31"/>
      <c r="DD19" s="31"/>
      <c r="DE19" s="31"/>
      <c r="DF19" s="31">
        <v>62</v>
      </c>
      <c r="DG19" s="31">
        <v>55</v>
      </c>
      <c r="DH19" s="31"/>
      <c r="DI19" s="31"/>
      <c r="DJ19" s="31"/>
      <c r="DK19" s="31"/>
      <c r="DL19" s="31"/>
      <c r="DM19" s="31"/>
      <c r="DN19" s="31"/>
      <c r="DO19" s="31"/>
      <c r="DP19" s="31"/>
      <c r="DQ19" s="31">
        <v>72</v>
      </c>
      <c r="DR19" s="31">
        <v>59</v>
      </c>
      <c r="DS19" s="31"/>
      <c r="DT19" s="31"/>
      <c r="DU19" s="31"/>
      <c r="DV19" s="31"/>
      <c r="DW19" s="31"/>
      <c r="DX19" s="31"/>
      <c r="DY19" s="31"/>
      <c r="DZ19" s="31"/>
      <c r="EA19" s="31">
        <v>80</v>
      </c>
      <c r="EB19" s="31">
        <v>71</v>
      </c>
      <c r="EC19" s="31"/>
      <c r="ED19" s="31"/>
      <c r="EE19" s="31"/>
      <c r="EF19" s="31"/>
      <c r="EG19" s="31"/>
      <c r="EH19" s="31"/>
      <c r="EI19" s="31"/>
      <c r="EJ19" s="31"/>
      <c r="EK19" s="31"/>
      <c r="EL19" s="31"/>
    </row>
    <row r="20" spans="1:142" ht="15">
      <c r="A20" s="18">
        <v>51111749</v>
      </c>
      <c r="B20" s="46" t="s">
        <v>118</v>
      </c>
      <c r="C20" s="47" t="s">
        <v>119</v>
      </c>
      <c r="D20" s="47" t="s">
        <v>200</v>
      </c>
      <c r="E20" s="16" t="s">
        <v>85</v>
      </c>
      <c r="F20" s="16" t="s">
        <v>86</v>
      </c>
      <c r="G20" s="17">
        <v>45909</v>
      </c>
      <c r="H20" s="16" t="s">
        <v>94</v>
      </c>
      <c r="I20" s="26" t="s">
        <v>88</v>
      </c>
      <c r="J20" s="28"/>
      <c r="K20" s="51"/>
      <c r="L20" s="52"/>
      <c r="M20" s="52"/>
      <c r="N20" s="22"/>
      <c r="O20" s="52"/>
      <c r="P20" s="18">
        <v>50</v>
      </c>
      <c r="Q20" s="53">
        <v>50</v>
      </c>
      <c r="R20" s="53">
        <v>40</v>
      </c>
      <c r="S20" s="53">
        <v>43</v>
      </c>
      <c r="T20" s="53">
        <v>63</v>
      </c>
      <c r="U20" s="88">
        <f t="shared" si="0"/>
        <v>48.166666666666664</v>
      </c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24">
        <v>61</v>
      </c>
      <c r="AJ20" s="53"/>
      <c r="AK20" s="53"/>
      <c r="AL20" s="53">
        <v>72</v>
      </c>
      <c r="AM20" s="53"/>
      <c r="AN20" s="53"/>
      <c r="AO20" s="53"/>
      <c r="AP20" s="53"/>
      <c r="AQ20" s="53"/>
      <c r="AR20" s="53"/>
      <c r="AS20" s="53"/>
      <c r="AT20" s="53"/>
      <c r="AU20" s="53"/>
      <c r="AV20" s="52"/>
      <c r="AW20" s="53"/>
      <c r="AX20" s="18">
        <v>67</v>
      </c>
      <c r="AY20" s="18">
        <v>33</v>
      </c>
      <c r="AZ20" s="18">
        <v>73</v>
      </c>
      <c r="BA20" s="53">
        <v>71</v>
      </c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30">
        <v>74</v>
      </c>
      <c r="BO20" s="30">
        <v>48</v>
      </c>
      <c r="BP20" s="30">
        <v>54</v>
      </c>
      <c r="BQ20" s="31">
        <v>36</v>
      </c>
      <c r="BR20" s="53"/>
      <c r="BS20" s="53"/>
      <c r="BT20" s="53"/>
      <c r="BU20" s="53"/>
      <c r="BV20" s="53"/>
      <c r="BW20" s="94"/>
      <c r="BX20" s="31"/>
      <c r="BY20" s="31"/>
      <c r="BZ20" s="31"/>
      <c r="CA20" s="95"/>
      <c r="CB20" s="30"/>
      <c r="CC20" s="25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25"/>
      <c r="CP20" s="25"/>
      <c r="CQ20" s="25"/>
      <c r="CR20" s="25"/>
      <c r="CS20" s="25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18"/>
      <c r="DG20" s="53"/>
      <c r="DH20" s="53"/>
      <c r="DI20" s="31"/>
      <c r="DJ20" s="31"/>
      <c r="DK20" s="31"/>
      <c r="DL20" s="31"/>
      <c r="DM20" s="31"/>
      <c r="DN20" s="31"/>
      <c r="DO20" s="31"/>
      <c r="DP20" s="31"/>
      <c r="DQ20" s="18"/>
      <c r="DR20" s="53"/>
      <c r="DS20" s="53"/>
      <c r="DT20" s="31"/>
      <c r="DU20" s="31"/>
      <c r="DV20" s="31"/>
      <c r="DW20" s="31"/>
      <c r="DX20" s="31"/>
      <c r="DY20" s="31"/>
      <c r="DZ20" s="31"/>
      <c r="EA20" s="18"/>
      <c r="EB20" s="53"/>
      <c r="EC20" s="53"/>
      <c r="ED20" s="31"/>
      <c r="EE20" s="31"/>
      <c r="EF20" s="31"/>
      <c r="EG20" s="31"/>
      <c r="EH20" s="31"/>
      <c r="EI20" s="31"/>
      <c r="EJ20" s="31"/>
      <c r="EK20" s="31"/>
      <c r="EL20" s="31"/>
    </row>
    <row r="21" spans="1:142" ht="15">
      <c r="A21" s="18">
        <v>51111750</v>
      </c>
      <c r="B21" s="46" t="s">
        <v>120</v>
      </c>
      <c r="C21" s="47" t="s">
        <v>121</v>
      </c>
      <c r="D21" s="47" t="s">
        <v>201</v>
      </c>
      <c r="E21" s="16" t="s">
        <v>85</v>
      </c>
      <c r="F21" s="16" t="s">
        <v>86</v>
      </c>
      <c r="G21" s="17">
        <v>45909</v>
      </c>
      <c r="H21" s="16" t="s">
        <v>87</v>
      </c>
      <c r="I21" s="26" t="s">
        <v>88</v>
      </c>
      <c r="J21" s="28"/>
      <c r="K21" s="27"/>
      <c r="L21" s="19"/>
      <c r="M21" s="19"/>
      <c r="N21" s="22"/>
      <c r="O21" s="19"/>
      <c r="P21" s="31">
        <v>75</v>
      </c>
      <c r="Q21" s="31">
        <v>78</v>
      </c>
      <c r="R21" s="31">
        <v>85</v>
      </c>
      <c r="S21" s="31">
        <v>88</v>
      </c>
      <c r="T21" s="31">
        <v>76</v>
      </c>
      <c r="U21" s="88">
        <f t="shared" si="0"/>
        <v>82.166666666666671</v>
      </c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24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>
        <v>97</v>
      </c>
      <c r="AY21" s="31">
        <v>100</v>
      </c>
      <c r="AZ21" s="31">
        <v>93</v>
      </c>
      <c r="BA21" s="31">
        <v>98</v>
      </c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>
        <v>94</v>
      </c>
      <c r="BO21" s="31">
        <v>99</v>
      </c>
      <c r="BP21" s="31">
        <v>94</v>
      </c>
      <c r="BQ21" s="31">
        <v>99</v>
      </c>
      <c r="BR21" s="31"/>
      <c r="BS21" s="31"/>
      <c r="BT21" s="31"/>
      <c r="BU21" s="31"/>
      <c r="BV21" s="31"/>
      <c r="BW21" s="90"/>
      <c r="BX21" s="31"/>
      <c r="BY21" s="31"/>
      <c r="BZ21" s="31"/>
      <c r="CA21" s="91"/>
      <c r="CB21" s="31"/>
      <c r="CC21" s="25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25">
        <v>97</v>
      </c>
      <c r="CP21" s="25">
        <v>85</v>
      </c>
      <c r="CQ21" s="25">
        <v>98</v>
      </c>
      <c r="CR21" s="25"/>
      <c r="CS21" s="25">
        <v>100</v>
      </c>
      <c r="CT21" s="31">
        <v>97</v>
      </c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</row>
    <row r="22" spans="1:142" ht="15">
      <c r="A22" s="18">
        <v>51111751</v>
      </c>
      <c r="B22" s="46" t="s">
        <v>122</v>
      </c>
      <c r="C22" s="47" t="s">
        <v>123</v>
      </c>
      <c r="D22" s="47" t="s">
        <v>202</v>
      </c>
      <c r="E22" s="16" t="s">
        <v>85</v>
      </c>
      <c r="F22" s="16" t="s">
        <v>86</v>
      </c>
      <c r="G22" s="17">
        <v>45909</v>
      </c>
      <c r="H22" s="16" t="s">
        <v>94</v>
      </c>
      <c r="I22" s="26" t="s">
        <v>88</v>
      </c>
      <c r="J22" s="28"/>
      <c r="K22" s="41"/>
      <c r="L22" s="42"/>
      <c r="M22" s="42"/>
      <c r="N22" s="43"/>
      <c r="O22" s="42"/>
      <c r="P22" s="31">
        <v>50</v>
      </c>
      <c r="Q22" s="16">
        <v>50</v>
      </c>
      <c r="R22" s="16">
        <v>65</v>
      </c>
      <c r="S22" s="16">
        <v>60</v>
      </c>
      <c r="T22" s="16">
        <v>62</v>
      </c>
      <c r="U22" s="88">
        <f t="shared" si="0"/>
        <v>57.833333333333336</v>
      </c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24">
        <v>61</v>
      </c>
      <c r="AJ22" s="16"/>
      <c r="AK22" s="16"/>
      <c r="AL22" s="16">
        <v>70</v>
      </c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31"/>
      <c r="AY22" s="31"/>
      <c r="AZ22" s="31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31">
        <v>25</v>
      </c>
      <c r="BO22" s="31">
        <v>56</v>
      </c>
      <c r="BP22" s="31">
        <v>68</v>
      </c>
      <c r="BQ22" s="16" t="s">
        <v>124</v>
      </c>
      <c r="BR22" s="16"/>
      <c r="BS22" s="16"/>
      <c r="BT22" s="16"/>
      <c r="BU22" s="16"/>
      <c r="BV22" s="16"/>
      <c r="BW22" s="26"/>
      <c r="BX22" s="16"/>
      <c r="BY22" s="16"/>
      <c r="BZ22" s="16"/>
      <c r="CA22" s="50"/>
      <c r="CB22" s="31">
        <v>90</v>
      </c>
      <c r="CC22" s="25">
        <v>70</v>
      </c>
      <c r="CD22" s="31">
        <v>74</v>
      </c>
      <c r="CE22" s="16">
        <v>75</v>
      </c>
      <c r="CF22" s="16"/>
      <c r="CG22" s="16"/>
      <c r="CH22" s="16"/>
      <c r="CI22" s="16"/>
      <c r="CJ22" s="16"/>
      <c r="CK22" s="16"/>
      <c r="CL22" s="16"/>
      <c r="CM22" s="16"/>
      <c r="CN22" s="16"/>
      <c r="CO22" s="25"/>
      <c r="CP22" s="25"/>
      <c r="CQ22" s="25"/>
      <c r="CR22" s="25"/>
      <c r="CS22" s="25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31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31"/>
      <c r="DR22" s="16"/>
      <c r="DS22" s="16"/>
      <c r="DT22" s="16"/>
      <c r="DU22" s="16"/>
      <c r="DV22" s="16"/>
      <c r="DW22" s="16"/>
      <c r="DX22" s="16"/>
      <c r="DY22" s="16"/>
      <c r="DZ22" s="16"/>
      <c r="EA22" s="31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</row>
    <row r="23" spans="1:142" ht="15">
      <c r="A23" s="18">
        <v>51111752</v>
      </c>
      <c r="B23" s="46" t="s">
        <v>125</v>
      </c>
      <c r="C23" s="47" t="s">
        <v>123</v>
      </c>
      <c r="D23" s="115" t="s">
        <v>203</v>
      </c>
      <c r="E23" s="18" t="s">
        <v>85</v>
      </c>
      <c r="F23" s="18" t="s">
        <v>86</v>
      </c>
      <c r="G23" s="17">
        <v>45909</v>
      </c>
      <c r="H23" s="16" t="s">
        <v>91</v>
      </c>
      <c r="I23" s="26" t="s">
        <v>88</v>
      </c>
      <c r="J23" s="28"/>
      <c r="K23" s="27"/>
      <c r="L23" s="19"/>
      <c r="M23" s="19"/>
      <c r="N23" s="22"/>
      <c r="O23" s="19"/>
      <c r="P23" s="31" t="s">
        <v>126</v>
      </c>
      <c r="Q23" s="31" t="s">
        <v>126</v>
      </c>
      <c r="R23" s="31">
        <v>60</v>
      </c>
      <c r="S23" s="31" t="s">
        <v>126</v>
      </c>
      <c r="T23" s="31" t="s">
        <v>126</v>
      </c>
      <c r="U23" s="31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24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90"/>
      <c r="BX23" s="31"/>
      <c r="BY23" s="31"/>
      <c r="BZ23" s="31"/>
      <c r="CA23" s="91"/>
      <c r="CB23" s="31"/>
      <c r="CC23" s="25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25"/>
      <c r="CP23" s="25"/>
      <c r="CQ23" s="25"/>
      <c r="CR23" s="25"/>
      <c r="CS23" s="25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>
        <v>70</v>
      </c>
      <c r="DG23" s="31" t="s">
        <v>126</v>
      </c>
      <c r="DH23" s="31"/>
      <c r="DI23" s="31"/>
      <c r="DJ23" s="31"/>
      <c r="DK23" s="31"/>
      <c r="DL23" s="31"/>
      <c r="DM23" s="31"/>
      <c r="DN23" s="31"/>
      <c r="DO23" s="31"/>
      <c r="DP23" s="31"/>
      <c r="DQ23" s="31">
        <v>60</v>
      </c>
      <c r="DR23" s="31" t="s">
        <v>126</v>
      </c>
      <c r="DS23" s="31"/>
      <c r="DT23" s="31"/>
      <c r="DU23" s="31"/>
      <c r="DV23" s="31"/>
      <c r="DW23" s="31"/>
      <c r="DX23" s="31"/>
      <c r="DY23" s="31"/>
      <c r="DZ23" s="31"/>
      <c r="EA23" s="31">
        <v>49</v>
      </c>
      <c r="EB23" s="31" t="s">
        <v>126</v>
      </c>
      <c r="EC23" s="31"/>
      <c r="ED23" s="31"/>
      <c r="EE23" s="31"/>
      <c r="EF23" s="31"/>
      <c r="EG23" s="31"/>
      <c r="EH23" s="31"/>
      <c r="EI23" s="31"/>
      <c r="EJ23" s="31"/>
      <c r="EK23" s="31"/>
      <c r="EL23" s="31"/>
    </row>
    <row r="24" spans="1:142" ht="15">
      <c r="A24" s="18">
        <v>51111753</v>
      </c>
      <c r="B24" s="46" t="s">
        <v>127</v>
      </c>
      <c r="C24" s="47" t="s">
        <v>123</v>
      </c>
      <c r="D24" s="47" t="s">
        <v>204</v>
      </c>
      <c r="E24" s="16" t="s">
        <v>85</v>
      </c>
      <c r="F24" s="16" t="s">
        <v>86</v>
      </c>
      <c r="G24" s="17">
        <v>45909</v>
      </c>
      <c r="H24" s="16" t="s">
        <v>91</v>
      </c>
      <c r="I24" s="26" t="s">
        <v>88</v>
      </c>
      <c r="J24" s="28"/>
      <c r="K24" s="51"/>
      <c r="L24" s="52"/>
      <c r="M24" s="52"/>
      <c r="N24" s="22"/>
      <c r="O24" s="52"/>
      <c r="P24" s="97">
        <v>50</v>
      </c>
      <c r="Q24" s="53">
        <v>35</v>
      </c>
      <c r="R24" s="53">
        <v>50</v>
      </c>
      <c r="S24" s="53">
        <v>45</v>
      </c>
      <c r="T24" s="53">
        <v>44</v>
      </c>
      <c r="U24" s="88">
        <f t="shared" ref="U24:U33" si="1">(Q24*0.25+R24*0.125+S24*0.25+T24*0.125)/0.75</f>
        <v>42.333333333333336</v>
      </c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24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30"/>
      <c r="BO24" s="30"/>
      <c r="BP24" s="30"/>
      <c r="BQ24" s="53"/>
      <c r="BR24" s="53"/>
      <c r="BS24" s="53"/>
      <c r="BT24" s="53"/>
      <c r="BU24" s="53"/>
      <c r="BV24" s="53"/>
      <c r="BW24" s="94"/>
      <c r="BX24" s="31"/>
      <c r="BY24" s="31"/>
      <c r="BZ24" s="31"/>
      <c r="CA24" s="95"/>
      <c r="CB24" s="30"/>
      <c r="CC24" s="25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25"/>
      <c r="CP24" s="25"/>
      <c r="CQ24" s="25"/>
      <c r="CR24" s="25"/>
      <c r="CS24" s="25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97">
        <v>65</v>
      </c>
      <c r="DG24" s="53">
        <v>70</v>
      </c>
      <c r="DH24" s="53"/>
      <c r="DI24" s="31"/>
      <c r="DJ24" s="31"/>
      <c r="DK24" s="31"/>
      <c r="DL24" s="31"/>
      <c r="DM24" s="31"/>
      <c r="DN24" s="31"/>
      <c r="DO24" s="31"/>
      <c r="DP24" s="31"/>
      <c r="DQ24" s="97">
        <v>70</v>
      </c>
      <c r="DR24" s="53">
        <v>68</v>
      </c>
      <c r="DS24" s="53"/>
      <c r="DT24" s="31"/>
      <c r="DU24" s="31"/>
      <c r="DV24" s="31"/>
      <c r="DW24" s="31"/>
      <c r="DX24" s="31"/>
      <c r="DY24" s="31"/>
      <c r="DZ24" s="31"/>
      <c r="EA24" s="97">
        <v>79</v>
      </c>
      <c r="EB24" s="53">
        <v>55</v>
      </c>
      <c r="EC24" s="53"/>
      <c r="ED24" s="31"/>
      <c r="EE24" s="31"/>
      <c r="EF24" s="31"/>
      <c r="EG24" s="31"/>
      <c r="EH24" s="31"/>
      <c r="EI24" s="31"/>
      <c r="EJ24" s="31"/>
      <c r="EK24" s="31"/>
      <c r="EL24" s="31"/>
    </row>
    <row r="25" spans="1:142" ht="15">
      <c r="A25" s="18">
        <v>51111754</v>
      </c>
      <c r="B25" s="46" t="s">
        <v>128</v>
      </c>
      <c r="C25" s="47" t="s">
        <v>123</v>
      </c>
      <c r="D25" s="47" t="s">
        <v>205</v>
      </c>
      <c r="E25" s="16" t="s">
        <v>85</v>
      </c>
      <c r="F25" s="16" t="s">
        <v>86</v>
      </c>
      <c r="G25" s="17">
        <v>45909</v>
      </c>
      <c r="H25" s="16" t="s">
        <v>94</v>
      </c>
      <c r="I25" s="26" t="s">
        <v>88</v>
      </c>
      <c r="J25" s="28"/>
      <c r="K25" s="27"/>
      <c r="L25" s="19"/>
      <c r="M25" s="19"/>
      <c r="N25" s="22"/>
      <c r="O25" s="19"/>
      <c r="P25" s="31">
        <v>75</v>
      </c>
      <c r="Q25" s="31">
        <v>73</v>
      </c>
      <c r="R25" s="31">
        <v>74</v>
      </c>
      <c r="S25" s="31">
        <v>60</v>
      </c>
      <c r="T25" s="31">
        <v>61</v>
      </c>
      <c r="U25" s="88">
        <f t="shared" si="1"/>
        <v>66.833333333333329</v>
      </c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24">
        <v>78</v>
      </c>
      <c r="AJ25" s="31"/>
      <c r="AK25" s="31"/>
      <c r="AL25" s="31">
        <v>76</v>
      </c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53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>
        <v>68</v>
      </c>
      <c r="BO25" s="31">
        <v>49</v>
      </c>
      <c r="BP25" s="31">
        <v>51</v>
      </c>
      <c r="BQ25" s="31">
        <v>19</v>
      </c>
      <c r="BR25" s="31"/>
      <c r="BS25" s="31"/>
      <c r="BT25" s="31"/>
      <c r="BU25" s="31"/>
      <c r="BV25" s="31"/>
      <c r="BW25" s="90"/>
      <c r="BX25" s="31"/>
      <c r="BY25" s="31"/>
      <c r="BZ25" s="31"/>
      <c r="CA25" s="91"/>
      <c r="CB25" s="31">
        <v>73</v>
      </c>
      <c r="CC25" s="25">
        <v>94</v>
      </c>
      <c r="CD25" s="31">
        <v>74</v>
      </c>
      <c r="CE25" s="31">
        <v>90</v>
      </c>
      <c r="CF25" s="31"/>
      <c r="CG25" s="31"/>
      <c r="CH25" s="31"/>
      <c r="CI25" s="31"/>
      <c r="CJ25" s="31"/>
      <c r="CK25" s="31"/>
      <c r="CL25" s="31"/>
      <c r="CM25" s="31"/>
      <c r="CN25" s="31"/>
      <c r="CO25" s="25"/>
      <c r="CP25" s="25"/>
      <c r="CQ25" s="25"/>
      <c r="CR25" s="25"/>
      <c r="CS25" s="25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31"/>
      <c r="DV25" s="31"/>
      <c r="DW25" s="31"/>
      <c r="DX25" s="31"/>
      <c r="DY25" s="31"/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</row>
    <row r="26" spans="1:142" ht="15">
      <c r="A26" s="18">
        <v>51111755</v>
      </c>
      <c r="B26" s="46" t="s">
        <v>129</v>
      </c>
      <c r="C26" s="47" t="s">
        <v>130</v>
      </c>
      <c r="D26" s="47" t="s">
        <v>206</v>
      </c>
      <c r="E26" s="16" t="s">
        <v>85</v>
      </c>
      <c r="F26" s="16" t="s">
        <v>86</v>
      </c>
      <c r="G26" s="17">
        <v>45909</v>
      </c>
      <c r="H26" s="16" t="s">
        <v>94</v>
      </c>
      <c r="I26" s="26" t="s">
        <v>88</v>
      </c>
      <c r="J26" s="28"/>
      <c r="K26" s="27"/>
      <c r="L26" s="19"/>
      <c r="M26" s="19"/>
      <c r="N26" s="22"/>
      <c r="O26" s="19"/>
      <c r="P26" s="31">
        <v>48</v>
      </c>
      <c r="Q26" s="31">
        <v>55</v>
      </c>
      <c r="R26" s="31">
        <v>63</v>
      </c>
      <c r="S26" s="31">
        <v>43</v>
      </c>
      <c r="T26" s="31">
        <v>61</v>
      </c>
      <c r="U26" s="88">
        <f t="shared" si="1"/>
        <v>53.333333333333336</v>
      </c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24">
        <v>69</v>
      </c>
      <c r="AJ26" s="31"/>
      <c r="AK26" s="31"/>
      <c r="AL26" s="31">
        <v>71</v>
      </c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16">
        <v>60</v>
      </c>
      <c r="AY26" s="31">
        <v>73</v>
      </c>
      <c r="AZ26" s="31">
        <v>87</v>
      </c>
      <c r="BA26" s="31">
        <v>81</v>
      </c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>
        <v>48</v>
      </c>
      <c r="BO26" s="31">
        <v>100</v>
      </c>
      <c r="BP26" s="31">
        <v>81</v>
      </c>
      <c r="BQ26" s="31">
        <v>72</v>
      </c>
      <c r="BR26" s="31"/>
      <c r="BS26" s="31"/>
      <c r="BT26" s="31"/>
      <c r="BU26" s="31"/>
      <c r="BV26" s="31"/>
      <c r="BW26" s="90"/>
      <c r="BX26" s="31"/>
      <c r="BY26" s="31"/>
      <c r="BZ26" s="31"/>
      <c r="CA26" s="91"/>
      <c r="CB26" s="31"/>
      <c r="CC26" s="25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25"/>
      <c r="CP26" s="25"/>
      <c r="CQ26" s="25"/>
      <c r="CR26" s="25"/>
      <c r="CS26" s="25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</row>
    <row r="27" spans="1:142" ht="15">
      <c r="A27" s="18">
        <v>51111756</v>
      </c>
      <c r="B27" s="46" t="s">
        <v>131</v>
      </c>
      <c r="C27" s="47" t="s">
        <v>132</v>
      </c>
      <c r="D27" s="47" t="s">
        <v>207</v>
      </c>
      <c r="E27" s="16" t="s">
        <v>85</v>
      </c>
      <c r="F27" s="16" t="s">
        <v>86</v>
      </c>
      <c r="G27" s="17">
        <v>45909</v>
      </c>
      <c r="H27" s="16" t="s">
        <v>94</v>
      </c>
      <c r="I27" s="26" t="s">
        <v>88</v>
      </c>
      <c r="J27" s="28"/>
      <c r="K27" s="27"/>
      <c r="L27" s="19"/>
      <c r="M27" s="19"/>
      <c r="N27" s="22"/>
      <c r="O27" s="19"/>
      <c r="P27" s="31">
        <v>45</v>
      </c>
      <c r="Q27" s="31">
        <v>40</v>
      </c>
      <c r="R27" s="31">
        <v>45</v>
      </c>
      <c r="S27" s="31">
        <v>58</v>
      </c>
      <c r="T27" s="31">
        <v>66</v>
      </c>
      <c r="U27" s="88">
        <f t="shared" si="1"/>
        <v>51.166666666666664</v>
      </c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24">
        <v>65</v>
      </c>
      <c r="AJ27" s="31"/>
      <c r="AK27" s="31"/>
      <c r="AL27" s="31">
        <v>73</v>
      </c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16">
        <v>47</v>
      </c>
      <c r="AY27" s="31">
        <v>100</v>
      </c>
      <c r="AZ27" s="31">
        <v>100</v>
      </c>
      <c r="BA27" s="31">
        <v>65</v>
      </c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>
        <v>83</v>
      </c>
      <c r="BO27" s="31">
        <v>86</v>
      </c>
      <c r="BP27" s="31">
        <v>86</v>
      </c>
      <c r="BQ27" s="31">
        <v>67</v>
      </c>
      <c r="BR27" s="31"/>
      <c r="BS27" s="31"/>
      <c r="BT27" s="31"/>
      <c r="BU27" s="31"/>
      <c r="BV27" s="31"/>
      <c r="BW27" s="90"/>
      <c r="BX27" s="31"/>
      <c r="BY27" s="31"/>
      <c r="BZ27" s="31"/>
      <c r="CA27" s="91"/>
      <c r="CB27" s="99"/>
      <c r="CC27" s="25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25"/>
      <c r="CP27" s="25"/>
      <c r="CQ27" s="25"/>
      <c r="CR27" s="25"/>
      <c r="CS27" s="25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</row>
    <row r="28" spans="1:142" ht="15">
      <c r="A28" s="38">
        <v>51111757</v>
      </c>
      <c r="B28" s="55" t="s">
        <v>133</v>
      </c>
      <c r="C28" s="47" t="s">
        <v>134</v>
      </c>
      <c r="D28" s="47" t="s">
        <v>208</v>
      </c>
      <c r="E28" s="16" t="s">
        <v>85</v>
      </c>
      <c r="F28" s="16" t="s">
        <v>86</v>
      </c>
      <c r="G28" s="17">
        <v>45909</v>
      </c>
      <c r="H28" s="16" t="s">
        <v>94</v>
      </c>
      <c r="I28" s="26" t="s">
        <v>88</v>
      </c>
      <c r="J28" s="28"/>
      <c r="K28" s="27"/>
      <c r="L28" s="19"/>
      <c r="M28" s="19"/>
      <c r="N28" s="22"/>
      <c r="O28" s="19"/>
      <c r="P28" s="31">
        <v>20</v>
      </c>
      <c r="Q28" s="31">
        <v>33</v>
      </c>
      <c r="R28" s="31">
        <v>55</v>
      </c>
      <c r="S28" s="31">
        <v>45</v>
      </c>
      <c r="T28" s="31">
        <v>38</v>
      </c>
      <c r="U28" s="88">
        <f t="shared" si="1"/>
        <v>41.5</v>
      </c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24">
        <v>63</v>
      </c>
      <c r="AJ28" s="31"/>
      <c r="AK28" s="31"/>
      <c r="AL28" s="31">
        <v>70</v>
      </c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>
        <v>25</v>
      </c>
      <c r="BO28" s="31">
        <v>15</v>
      </c>
      <c r="BP28" s="31">
        <v>22</v>
      </c>
      <c r="BQ28" s="31">
        <v>18</v>
      </c>
      <c r="BR28" s="31"/>
      <c r="BS28" s="31"/>
      <c r="BT28" s="31"/>
      <c r="BU28" s="31"/>
      <c r="BV28" s="31"/>
      <c r="BW28" s="31"/>
      <c r="BX28" s="96"/>
      <c r="BY28" s="96"/>
      <c r="BZ28" s="96"/>
      <c r="CA28" s="31"/>
      <c r="CB28" s="31">
        <v>15</v>
      </c>
      <c r="CC28" s="25">
        <v>18</v>
      </c>
      <c r="CD28" s="31">
        <v>58</v>
      </c>
      <c r="CE28" s="31">
        <v>45</v>
      </c>
      <c r="CF28" s="31"/>
      <c r="CG28" s="31"/>
      <c r="CH28" s="31"/>
      <c r="CI28" s="31"/>
      <c r="CJ28" s="31"/>
      <c r="CK28" s="31"/>
      <c r="CL28" s="31"/>
      <c r="CM28" s="31"/>
      <c r="CN28" s="31"/>
      <c r="CO28" s="25"/>
      <c r="CP28" s="25"/>
      <c r="CQ28" s="25"/>
      <c r="CR28" s="25"/>
      <c r="CS28" s="25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</row>
    <row r="29" spans="1:142" ht="15">
      <c r="A29" s="18">
        <v>51111758</v>
      </c>
      <c r="B29" s="46" t="s">
        <v>135</v>
      </c>
      <c r="C29" s="47" t="s">
        <v>134</v>
      </c>
      <c r="D29" s="47" t="s">
        <v>209</v>
      </c>
      <c r="E29" s="16" t="s">
        <v>85</v>
      </c>
      <c r="F29" s="16" t="s">
        <v>86</v>
      </c>
      <c r="G29" s="17">
        <v>45909</v>
      </c>
      <c r="H29" s="16" t="s">
        <v>94</v>
      </c>
      <c r="I29" s="26" t="s">
        <v>88</v>
      </c>
      <c r="J29" s="28"/>
      <c r="K29" s="27"/>
      <c r="L29" s="19"/>
      <c r="M29" s="19"/>
      <c r="N29" s="22"/>
      <c r="O29" s="19"/>
      <c r="P29" s="31">
        <v>73</v>
      </c>
      <c r="Q29" s="31">
        <v>73</v>
      </c>
      <c r="R29" s="31">
        <v>69</v>
      </c>
      <c r="S29" s="31">
        <v>65</v>
      </c>
      <c r="T29" s="31">
        <v>48</v>
      </c>
      <c r="U29" s="88">
        <f t="shared" si="1"/>
        <v>65.5</v>
      </c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24">
        <v>73</v>
      </c>
      <c r="AJ29" s="31"/>
      <c r="AK29" s="31"/>
      <c r="AL29" s="31">
        <v>80</v>
      </c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>
        <v>84</v>
      </c>
      <c r="BO29" s="31">
        <v>70</v>
      </c>
      <c r="BP29" s="31">
        <v>64</v>
      </c>
      <c r="BQ29" s="31">
        <v>82</v>
      </c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>
        <v>69</v>
      </c>
      <c r="CC29" s="25">
        <v>68</v>
      </c>
      <c r="CD29" s="31">
        <v>81</v>
      </c>
      <c r="CE29" s="31">
        <v>79</v>
      </c>
      <c r="CF29" s="31"/>
      <c r="CG29" s="31"/>
      <c r="CH29" s="31"/>
      <c r="CI29" s="31"/>
      <c r="CJ29" s="31"/>
      <c r="CK29" s="31"/>
      <c r="CL29" s="31"/>
      <c r="CM29" s="31"/>
      <c r="CN29" s="31"/>
      <c r="CO29" s="25"/>
      <c r="CP29" s="25"/>
      <c r="CQ29" s="25"/>
      <c r="CR29" s="25"/>
      <c r="CS29" s="25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</row>
    <row r="30" spans="1:142" ht="15">
      <c r="A30" s="18">
        <v>51111759</v>
      </c>
      <c r="B30" s="46" t="s">
        <v>136</v>
      </c>
      <c r="C30" s="47" t="s">
        <v>134</v>
      </c>
      <c r="D30" s="47" t="s">
        <v>210</v>
      </c>
      <c r="E30" s="16" t="s">
        <v>85</v>
      </c>
      <c r="F30" s="16" t="s">
        <v>86</v>
      </c>
      <c r="G30" s="17">
        <v>45909</v>
      </c>
      <c r="H30" s="16" t="s">
        <v>94</v>
      </c>
      <c r="I30" s="26" t="s">
        <v>88</v>
      </c>
      <c r="J30" s="28"/>
      <c r="K30" s="27"/>
      <c r="L30" s="19"/>
      <c r="M30" s="19"/>
      <c r="N30" s="22"/>
      <c r="O30" s="19"/>
      <c r="P30" s="31">
        <v>98</v>
      </c>
      <c r="Q30" s="31">
        <v>98</v>
      </c>
      <c r="R30" s="31">
        <v>89</v>
      </c>
      <c r="S30" s="31">
        <v>78</v>
      </c>
      <c r="T30" s="31">
        <v>73</v>
      </c>
      <c r="U30" s="88">
        <f t="shared" si="1"/>
        <v>85.666666666666671</v>
      </c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24">
        <v>84</v>
      </c>
      <c r="AJ30" s="31"/>
      <c r="AK30" s="31"/>
      <c r="AL30" s="31">
        <v>85</v>
      </c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>
        <v>99</v>
      </c>
      <c r="BO30" s="31">
        <v>95</v>
      </c>
      <c r="BP30" s="31">
        <v>91</v>
      </c>
      <c r="BQ30" s="31">
        <v>82</v>
      </c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>
        <v>85</v>
      </c>
      <c r="CC30" s="25">
        <v>100</v>
      </c>
      <c r="CD30" s="31">
        <v>100</v>
      </c>
      <c r="CE30" s="31">
        <v>96</v>
      </c>
      <c r="CF30" s="31"/>
      <c r="CG30" s="31"/>
      <c r="CH30" s="31"/>
      <c r="CI30" s="31"/>
      <c r="CJ30" s="31"/>
      <c r="CK30" s="31"/>
      <c r="CL30" s="31"/>
      <c r="CM30" s="31"/>
      <c r="CN30" s="31"/>
      <c r="CO30" s="25"/>
      <c r="CP30" s="25"/>
      <c r="CQ30" s="25"/>
      <c r="CR30" s="25"/>
      <c r="CS30" s="25"/>
      <c r="CT30" s="31"/>
      <c r="CU30" s="31"/>
      <c r="CV30" s="31"/>
      <c r="CW30" s="31"/>
      <c r="CX30" s="31"/>
      <c r="CY30" s="31"/>
      <c r="CZ30" s="31"/>
      <c r="DA30" s="31"/>
      <c r="DB30" s="31"/>
      <c r="DC30" s="31"/>
      <c r="DD30" s="31"/>
      <c r="DE30" s="31"/>
      <c r="DF30" s="31"/>
      <c r="DG30" s="31"/>
      <c r="DH30" s="31"/>
      <c r="DI30" s="31"/>
      <c r="DJ30" s="31"/>
      <c r="DK30" s="31"/>
      <c r="DL30" s="31"/>
      <c r="DM30" s="31"/>
      <c r="DN30" s="31"/>
      <c r="DO30" s="31"/>
      <c r="DP30" s="31"/>
      <c r="DQ30" s="31"/>
      <c r="DR30" s="31"/>
      <c r="DS30" s="31"/>
      <c r="DT30" s="31"/>
      <c r="DU30" s="31"/>
      <c r="DV30" s="31"/>
      <c r="DW30" s="31"/>
      <c r="DX30" s="31"/>
      <c r="DY30" s="31"/>
      <c r="DZ30" s="31"/>
      <c r="EA30" s="31"/>
      <c r="EB30" s="31"/>
      <c r="EC30" s="31"/>
      <c r="ED30" s="31"/>
      <c r="EE30" s="31"/>
      <c r="EF30" s="31"/>
      <c r="EG30" s="31"/>
      <c r="EH30" s="31"/>
      <c r="EI30" s="31"/>
      <c r="EJ30" s="31"/>
      <c r="EK30" s="31"/>
      <c r="EL30" s="31"/>
    </row>
    <row r="31" spans="1:142" ht="15">
      <c r="A31" s="18">
        <v>51111760</v>
      </c>
      <c r="B31" s="46" t="s">
        <v>137</v>
      </c>
      <c r="C31" s="47" t="s">
        <v>138</v>
      </c>
      <c r="D31" s="47" t="s">
        <v>211</v>
      </c>
      <c r="E31" s="16" t="s">
        <v>85</v>
      </c>
      <c r="F31" s="16" t="s">
        <v>86</v>
      </c>
      <c r="G31" s="17">
        <v>45909</v>
      </c>
      <c r="H31" s="16" t="s">
        <v>91</v>
      </c>
      <c r="I31" s="26" t="s">
        <v>88</v>
      </c>
      <c r="J31" s="28"/>
      <c r="K31" s="27"/>
      <c r="L31" s="19"/>
      <c r="M31" s="19"/>
      <c r="N31" s="22"/>
      <c r="O31" s="19"/>
      <c r="P31" s="31">
        <v>33</v>
      </c>
      <c r="Q31" s="31">
        <v>40</v>
      </c>
      <c r="R31" s="31">
        <v>48</v>
      </c>
      <c r="S31" s="31">
        <v>23</v>
      </c>
      <c r="T31" s="31">
        <v>32</v>
      </c>
      <c r="U31" s="88">
        <f t="shared" si="1"/>
        <v>34.333333333333336</v>
      </c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24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2"/>
      <c r="BO31" s="32"/>
      <c r="BP31" s="32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25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25"/>
      <c r="CP31" s="25"/>
      <c r="CQ31" s="25"/>
      <c r="CR31" s="25"/>
      <c r="CS31" s="25"/>
      <c r="CT31" s="31"/>
      <c r="CU31" s="31"/>
      <c r="CV31" s="31"/>
      <c r="CW31" s="31"/>
      <c r="CX31" s="31"/>
      <c r="CY31" s="31"/>
      <c r="CZ31" s="31"/>
      <c r="DA31" s="31"/>
      <c r="DB31" s="31"/>
      <c r="DC31" s="31"/>
      <c r="DD31" s="31"/>
      <c r="DE31" s="31"/>
      <c r="DF31" s="31">
        <v>70</v>
      </c>
      <c r="DG31" s="31">
        <v>54</v>
      </c>
      <c r="DH31" s="31"/>
      <c r="DI31" s="31"/>
      <c r="DJ31" s="31"/>
      <c r="DK31" s="31"/>
      <c r="DL31" s="31"/>
      <c r="DM31" s="31"/>
      <c r="DN31" s="31"/>
      <c r="DO31" s="31"/>
      <c r="DP31" s="31"/>
      <c r="DQ31" s="31">
        <v>70</v>
      </c>
      <c r="DR31" s="31">
        <v>0</v>
      </c>
      <c r="DS31" s="31"/>
      <c r="DT31" s="31"/>
      <c r="DU31" s="31"/>
      <c r="DV31" s="31"/>
      <c r="DW31" s="31"/>
      <c r="DX31" s="31"/>
      <c r="DY31" s="31"/>
      <c r="DZ31" s="31"/>
      <c r="EA31" s="31">
        <v>69</v>
      </c>
      <c r="EB31" s="31">
        <v>0</v>
      </c>
      <c r="EC31" s="31"/>
      <c r="ED31" s="31"/>
      <c r="EE31" s="31"/>
      <c r="EF31" s="31"/>
      <c r="EG31" s="31"/>
      <c r="EH31" s="31"/>
      <c r="EI31" s="31"/>
      <c r="EJ31" s="31"/>
      <c r="EK31" s="31"/>
      <c r="EL31" s="31"/>
    </row>
    <row r="32" spans="1:142" ht="15">
      <c r="A32" s="38">
        <v>51111761</v>
      </c>
      <c r="B32" s="55" t="s">
        <v>139</v>
      </c>
      <c r="C32" s="47" t="s">
        <v>140</v>
      </c>
      <c r="D32" s="47" t="s">
        <v>212</v>
      </c>
      <c r="E32" s="16" t="s">
        <v>85</v>
      </c>
      <c r="F32" s="16" t="s">
        <v>86</v>
      </c>
      <c r="G32" s="17">
        <v>45909</v>
      </c>
      <c r="H32" s="16" t="s">
        <v>94</v>
      </c>
      <c r="I32" s="26" t="s">
        <v>88</v>
      </c>
      <c r="J32" s="28"/>
      <c r="K32" s="27"/>
      <c r="L32" s="19"/>
      <c r="M32" s="19"/>
      <c r="N32" s="22"/>
      <c r="O32" s="19"/>
      <c r="P32" s="31">
        <v>50</v>
      </c>
      <c r="Q32" s="31">
        <v>50</v>
      </c>
      <c r="R32" s="31">
        <v>53</v>
      </c>
      <c r="S32" s="31">
        <v>28</v>
      </c>
      <c r="T32" s="31">
        <v>44</v>
      </c>
      <c r="U32" s="88">
        <f t="shared" si="1"/>
        <v>42.166666666666664</v>
      </c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24">
        <v>28</v>
      </c>
      <c r="AJ32" s="31"/>
      <c r="AK32" s="31"/>
      <c r="AL32" s="31">
        <v>80</v>
      </c>
      <c r="AM32" s="31"/>
      <c r="AN32" s="31"/>
      <c r="AO32" s="31"/>
      <c r="AP32" s="31"/>
      <c r="AQ32" s="31"/>
      <c r="AR32" s="31"/>
      <c r="AS32" s="31"/>
      <c r="AT32" s="31"/>
      <c r="AU32" s="31"/>
      <c r="AV32" s="92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>
        <v>59</v>
      </c>
      <c r="BO32" s="31">
        <v>10</v>
      </c>
      <c r="BP32" s="31">
        <v>47</v>
      </c>
      <c r="BQ32" s="31">
        <v>13</v>
      </c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>
        <v>40</v>
      </c>
      <c r="CC32" s="25">
        <v>32</v>
      </c>
      <c r="CD32" s="31">
        <v>74</v>
      </c>
      <c r="CE32" s="31">
        <v>34</v>
      </c>
      <c r="CF32" s="31"/>
      <c r="CG32" s="31"/>
      <c r="CH32" s="31"/>
      <c r="CI32" s="31"/>
      <c r="CJ32" s="31"/>
      <c r="CK32" s="31"/>
      <c r="CL32" s="31"/>
      <c r="CM32" s="31"/>
      <c r="CN32" s="31"/>
      <c r="CO32" s="25"/>
      <c r="CP32" s="25"/>
      <c r="CQ32" s="25"/>
      <c r="CR32" s="25"/>
      <c r="CS32" s="25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</row>
    <row r="33" spans="1:142" ht="15">
      <c r="A33" s="85">
        <v>51111762</v>
      </c>
      <c r="B33" s="55" t="s">
        <v>141</v>
      </c>
      <c r="C33" s="47" t="s">
        <v>142</v>
      </c>
      <c r="D33" s="47" t="s">
        <v>213</v>
      </c>
      <c r="E33" s="16" t="s">
        <v>85</v>
      </c>
      <c r="F33" s="16" t="s">
        <v>86</v>
      </c>
      <c r="G33" s="17">
        <v>45909</v>
      </c>
      <c r="H33" s="16" t="s">
        <v>94</v>
      </c>
      <c r="I33" s="26" t="s">
        <v>88</v>
      </c>
      <c r="J33" s="28"/>
      <c r="K33" s="27"/>
      <c r="L33" s="19"/>
      <c r="M33" s="19"/>
      <c r="N33" s="22"/>
      <c r="O33" s="19"/>
      <c r="P33" s="31">
        <v>25</v>
      </c>
      <c r="Q33" s="31">
        <v>18</v>
      </c>
      <c r="R33" s="31">
        <v>48</v>
      </c>
      <c r="S33" s="31">
        <v>25</v>
      </c>
      <c r="T33" s="31">
        <v>52</v>
      </c>
      <c r="U33" s="88">
        <f t="shared" si="1"/>
        <v>31</v>
      </c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24">
        <v>52</v>
      </c>
      <c r="AJ33" s="31"/>
      <c r="AK33" s="31"/>
      <c r="AL33" s="31">
        <v>72</v>
      </c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>
        <v>63</v>
      </c>
      <c r="BO33" s="31">
        <v>18</v>
      </c>
      <c r="BP33" s="31">
        <v>38</v>
      </c>
      <c r="BQ33" s="31">
        <v>20</v>
      </c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>
        <v>59</v>
      </c>
      <c r="CC33" s="25">
        <v>23</v>
      </c>
      <c r="CD33" s="31">
        <v>64</v>
      </c>
      <c r="CE33" s="31">
        <v>49</v>
      </c>
      <c r="CF33" s="31"/>
      <c r="CG33" s="31"/>
      <c r="CH33" s="31"/>
      <c r="CI33" s="31"/>
      <c r="CJ33" s="31"/>
      <c r="CK33" s="31"/>
      <c r="CL33" s="31"/>
      <c r="CM33" s="31"/>
      <c r="CN33" s="31"/>
      <c r="CO33" s="25"/>
      <c r="CP33" s="25"/>
      <c r="CQ33" s="25"/>
      <c r="CR33" s="25"/>
      <c r="CS33" s="25"/>
      <c r="CT33" s="31"/>
      <c r="CU33" s="31"/>
      <c r="CV33" s="31"/>
      <c r="CW33" s="31"/>
      <c r="CX33" s="31"/>
      <c r="CY33" s="31"/>
      <c r="CZ33" s="31"/>
      <c r="DA33" s="31"/>
      <c r="DB33" s="31"/>
      <c r="DC33" s="31"/>
      <c r="DD33" s="31"/>
      <c r="DE33" s="31"/>
      <c r="DF33" s="31"/>
      <c r="DG33" s="31"/>
      <c r="DH33" s="31"/>
      <c r="DI33" s="31"/>
      <c r="DJ33" s="31"/>
      <c r="DK33" s="31"/>
      <c r="DL33" s="31"/>
      <c r="DM33" s="31"/>
      <c r="DN33" s="31"/>
      <c r="DO33" s="31"/>
      <c r="DP33" s="31"/>
      <c r="DQ33" s="31"/>
      <c r="DR33" s="31"/>
      <c r="DS33" s="31"/>
      <c r="DT33" s="31"/>
      <c r="DU33" s="31"/>
      <c r="DV33" s="31"/>
      <c r="DW33" s="31"/>
      <c r="DX33" s="31"/>
      <c r="DY33" s="31"/>
      <c r="DZ33" s="31"/>
      <c r="EA33" s="31"/>
      <c r="EB33" s="31"/>
      <c r="EC33" s="31"/>
      <c r="ED33" s="31"/>
      <c r="EE33" s="31"/>
      <c r="EF33" s="31"/>
      <c r="EG33" s="31"/>
      <c r="EH33" s="31"/>
      <c r="EI33" s="31"/>
      <c r="EJ33" s="31"/>
      <c r="EK33" s="31"/>
      <c r="EL33" s="31"/>
    </row>
    <row r="34" spans="1:142" ht="15">
      <c r="B34" s="48"/>
      <c r="C34" s="48"/>
      <c r="D34" s="48"/>
      <c r="H34" s="14"/>
      <c r="I34" s="15"/>
    </row>
    <row r="35" spans="1:142" ht="13">
      <c r="H35" s="14"/>
      <c r="I35" s="15"/>
    </row>
    <row r="36" spans="1:142" ht="13">
      <c r="H36" s="14"/>
      <c r="I36" s="15"/>
    </row>
    <row r="37" spans="1:142" ht="13">
      <c r="H37" s="14"/>
      <c r="I37" s="15"/>
    </row>
    <row r="38" spans="1:142" ht="18">
      <c r="A38" s="49" t="s">
        <v>143</v>
      </c>
      <c r="B38" s="16" t="s">
        <v>6</v>
      </c>
      <c r="C38" s="16" t="s">
        <v>144</v>
      </c>
      <c r="D38" s="16"/>
      <c r="E38" s="16" t="s">
        <v>145</v>
      </c>
      <c r="F38" s="16" t="s">
        <v>144</v>
      </c>
      <c r="G38" s="16" t="s">
        <v>146</v>
      </c>
      <c r="H38" s="16" t="s">
        <v>144</v>
      </c>
      <c r="I38" s="16" t="s">
        <v>147</v>
      </c>
      <c r="J38" s="16" t="s">
        <v>144</v>
      </c>
      <c r="K38" s="16" t="s">
        <v>148</v>
      </c>
      <c r="L38" s="16" t="s">
        <v>144</v>
      </c>
      <c r="M38" s="16" t="s">
        <v>94</v>
      </c>
    </row>
    <row r="39" spans="1:142" ht="13">
      <c r="A39" s="35" t="s">
        <v>149</v>
      </c>
      <c r="B39" s="33">
        <f>COUNTIF(P5:P33,"&gt;=40")</f>
        <v>18</v>
      </c>
      <c r="C39" s="36">
        <f>B39/29*100</f>
        <v>62.068965517241381</v>
      </c>
      <c r="D39" s="36"/>
      <c r="E39" s="33">
        <f>COUNTIF(AX17:AX33,"&gt;=40")</f>
        <v>5</v>
      </c>
      <c r="F39" s="36">
        <f>E39/9*100</f>
        <v>55.555555555555557</v>
      </c>
      <c r="G39" s="33">
        <f>COUNTIF(BN5:BN33,"&gt;=40")</f>
        <v>16</v>
      </c>
      <c r="H39" s="57">
        <f>G39/20*100</f>
        <v>80</v>
      </c>
      <c r="I39" s="33" t="e">
        <f>COUNTIF(#REF!,"&gt;39")</f>
        <v>#REF!</v>
      </c>
      <c r="J39" s="57" t="e">
        <f>I39/3*100</f>
        <v>#REF!</v>
      </c>
      <c r="K39" s="33">
        <f>COUNTIF(CB5:CB33,"&gt;39")</f>
        <v>10</v>
      </c>
      <c r="L39" s="57">
        <f>K39/11*100</f>
        <v>90.909090909090907</v>
      </c>
      <c r="M39" s="33">
        <f>COUNTIF(AI5:AI33,"&gt;39")</f>
        <v>14</v>
      </c>
    </row>
    <row r="40" spans="1:142" ht="12.75" customHeight="1">
      <c r="A40" s="40" t="s">
        <v>150</v>
      </c>
      <c r="B40" s="16">
        <f>29-COUNTIF(P5:P33,"&gt;60")</f>
        <v>23</v>
      </c>
      <c r="C40" s="39">
        <f>B40/29*100</f>
        <v>79.310344827586206</v>
      </c>
      <c r="D40" s="39"/>
      <c r="E40" s="16">
        <f>9-COUNTIF(AX17:AX33,"&gt;60")</f>
        <v>6</v>
      </c>
      <c r="F40" s="39">
        <f>E40/9*100</f>
        <v>66.666666666666657</v>
      </c>
      <c r="G40" s="16">
        <f>20-COUNTIF(BN5:BN33,"&gt;60")</f>
        <v>9</v>
      </c>
      <c r="H40" s="39">
        <f>G40/20*100</f>
        <v>45</v>
      </c>
      <c r="I40" s="16" t="e">
        <f>3-COUNTIF(#REF!,"&gt;=65")</f>
        <v>#REF!</v>
      </c>
      <c r="J40" s="37" t="e">
        <f>I40/3*100</f>
        <v>#REF!</v>
      </c>
      <c r="K40" s="33">
        <f>11-COUNTIF(CB5:CB33,"&gt;=65")</f>
        <v>5</v>
      </c>
      <c r="L40" s="39">
        <f>K40/11*100</f>
        <v>45.454545454545453</v>
      </c>
      <c r="M40" s="58">
        <f>17-COUNTIF(AI5:AI33,"&gt;=65")</f>
        <v>7</v>
      </c>
    </row>
    <row r="41" spans="1:142" ht="12.75" customHeight="1">
      <c r="A41" s="35" t="s">
        <v>151</v>
      </c>
      <c r="B41" s="16">
        <f>29-B39</f>
        <v>11</v>
      </c>
      <c r="C41" s="37">
        <f>100-C39</f>
        <v>37.931034482758619</v>
      </c>
      <c r="D41" s="37"/>
      <c r="E41" s="16">
        <f>9-E39</f>
        <v>4</v>
      </c>
      <c r="F41" s="37">
        <f>100-F39</f>
        <v>44.444444444444443</v>
      </c>
      <c r="G41" s="16">
        <f>20-G39</f>
        <v>4</v>
      </c>
      <c r="H41" s="37">
        <f>100-H39</f>
        <v>20</v>
      </c>
      <c r="I41" s="16" t="e">
        <f>3-I39</f>
        <v>#REF!</v>
      </c>
      <c r="J41" s="37" t="e">
        <f>100-J39</f>
        <v>#REF!</v>
      </c>
      <c r="K41" s="16">
        <f>11-K39</f>
        <v>1</v>
      </c>
      <c r="L41" s="37">
        <f>100-L39</f>
        <v>9.0909090909090935</v>
      </c>
      <c r="M41" s="16">
        <f>17-M39</f>
        <v>3</v>
      </c>
    </row>
    <row r="43" spans="1:142" ht="12.75" customHeight="1">
      <c r="A43" s="49" t="s">
        <v>152</v>
      </c>
      <c r="B43" s="16" t="s">
        <v>6</v>
      </c>
      <c r="C43" s="16" t="s">
        <v>144</v>
      </c>
      <c r="D43" s="16"/>
      <c r="E43" s="16" t="s">
        <v>145</v>
      </c>
      <c r="F43" s="16" t="s">
        <v>144</v>
      </c>
      <c r="G43" s="16" t="s">
        <v>146</v>
      </c>
      <c r="H43" s="16" t="s">
        <v>144</v>
      </c>
      <c r="I43" s="16" t="s">
        <v>147</v>
      </c>
      <c r="J43" s="16" t="s">
        <v>144</v>
      </c>
      <c r="K43" s="16" t="s">
        <v>148</v>
      </c>
      <c r="L43" s="16" t="s">
        <v>144</v>
      </c>
      <c r="M43" s="16" t="s">
        <v>94</v>
      </c>
    </row>
    <row r="44" spans="1:142" ht="12.75" customHeight="1">
      <c r="A44" s="35" t="s">
        <v>149</v>
      </c>
      <c r="B44" s="33"/>
      <c r="C44" s="36">
        <f>B44/29*100</f>
        <v>0</v>
      </c>
      <c r="D44" s="36"/>
      <c r="E44" s="33">
        <f>COUNTIF(AY5:AY33,"&gt;39")</f>
        <v>6</v>
      </c>
      <c r="F44" s="36">
        <f>E44/9*100</f>
        <v>66.666666666666657</v>
      </c>
      <c r="G44" s="33">
        <f>COUNTIF(BO5:BO33,"&gt;39")</f>
        <v>14</v>
      </c>
      <c r="H44" s="57">
        <f>G44/20*100</f>
        <v>70</v>
      </c>
      <c r="I44" s="16">
        <v>3</v>
      </c>
      <c r="J44" s="57">
        <f>I44/3*100</f>
        <v>100</v>
      </c>
      <c r="K44" s="33">
        <f>COUNTIF(CC5:CC33,"&gt;39")</f>
        <v>5</v>
      </c>
      <c r="L44" s="36">
        <f>K44/11*100</f>
        <v>45.454545454545453</v>
      </c>
      <c r="M44" s="33"/>
    </row>
    <row r="45" spans="1:142" ht="12.75" customHeight="1">
      <c r="A45" s="40" t="s">
        <v>150</v>
      </c>
      <c r="B45" s="16"/>
      <c r="C45" s="39">
        <f>B45/29*100</f>
        <v>0</v>
      </c>
      <c r="D45" s="39"/>
      <c r="E45" s="16">
        <f>9-COUNTIF(AY5:AY33,"&gt;65")</f>
        <v>4</v>
      </c>
      <c r="F45" s="39">
        <f>E45/9*100</f>
        <v>44.444444444444443</v>
      </c>
      <c r="G45" s="16">
        <f>20-COUNTIF(BO5:BO33,"&gt;65")</f>
        <v>12</v>
      </c>
      <c r="H45" s="39">
        <f>G45/20*100</f>
        <v>60</v>
      </c>
      <c r="I45" s="16">
        <v>0</v>
      </c>
      <c r="J45" s="37">
        <f>I45/3*100</f>
        <v>0</v>
      </c>
      <c r="K45" s="33">
        <f>11-COUNTIF(CC5:CC33,"&gt;=65")</f>
        <v>6</v>
      </c>
      <c r="L45" s="39">
        <f>K45/11*100</f>
        <v>54.54545454545454</v>
      </c>
      <c r="M45" s="58"/>
    </row>
    <row r="46" spans="1:142" ht="12.75" customHeight="1">
      <c r="A46" s="35" t="s">
        <v>151</v>
      </c>
      <c r="B46" s="16"/>
      <c r="C46" s="37">
        <f>100-C44</f>
        <v>100</v>
      </c>
      <c r="D46" s="37"/>
      <c r="E46" s="16">
        <f>9-E44</f>
        <v>3</v>
      </c>
      <c r="F46" s="37">
        <f>100-F44</f>
        <v>33.333333333333343</v>
      </c>
      <c r="G46" s="16">
        <f>20-G44</f>
        <v>6</v>
      </c>
      <c r="H46" s="37">
        <f>100-H44</f>
        <v>30</v>
      </c>
      <c r="I46" s="16">
        <v>0</v>
      </c>
      <c r="J46" s="37">
        <f>100-J44</f>
        <v>0</v>
      </c>
      <c r="K46" s="16">
        <f>11-K44</f>
        <v>6</v>
      </c>
      <c r="L46" s="37">
        <f>100-L44</f>
        <v>54.545454545454547</v>
      </c>
      <c r="M46" s="16"/>
    </row>
  </sheetData>
  <sheetProtection selectLockedCells="1" selectUnlockedCells="1"/>
  <sortState xmlns:xlrd2="http://schemas.microsoft.com/office/spreadsheetml/2017/richdata2" ref="A5:EL33">
    <sortCondition ref="A5:A33"/>
  </sortState>
  <mergeCells count="56">
    <mergeCell ref="A2:B3"/>
    <mergeCell ref="A1:EL1"/>
    <mergeCell ref="EK2:EK3"/>
    <mergeCell ref="EL2:EL3"/>
    <mergeCell ref="DF3:DI3"/>
    <mergeCell ref="DJ3:DM3"/>
    <mergeCell ref="DQ3:DT3"/>
    <mergeCell ref="DU3:DW3"/>
    <mergeCell ref="EA3:ED3"/>
    <mergeCell ref="EE3:EI3"/>
    <mergeCell ref="DX2:DX3"/>
    <mergeCell ref="DY2:DY3"/>
    <mergeCell ref="DZ2:DZ3"/>
    <mergeCell ref="EA2:EI2"/>
    <mergeCell ref="EJ2:EJ3"/>
    <mergeCell ref="DF2:DM2"/>
    <mergeCell ref="CA2:CA3"/>
    <mergeCell ref="BJ2:BJ3"/>
    <mergeCell ref="BK2:BK3"/>
    <mergeCell ref="BY2:BY3"/>
    <mergeCell ref="BZ2:BZ3"/>
    <mergeCell ref="BT3:BX3"/>
    <mergeCell ref="BM2:BX2"/>
    <mergeCell ref="BL2:BL3"/>
    <mergeCell ref="BN3:BS3"/>
    <mergeCell ref="AW2:BI2"/>
    <mergeCell ref="AI3:AN3"/>
    <mergeCell ref="AO3:AS3"/>
    <mergeCell ref="AX3:BC3"/>
    <mergeCell ref="BD3:BI3"/>
    <mergeCell ref="AH2:AH3"/>
    <mergeCell ref="AI2:AS2"/>
    <mergeCell ref="AT2:AT3"/>
    <mergeCell ref="AU2:AU3"/>
    <mergeCell ref="AV2:AV3"/>
    <mergeCell ref="K2:M3"/>
    <mergeCell ref="N2:U2"/>
    <mergeCell ref="V2:AE2"/>
    <mergeCell ref="AF2:AF3"/>
    <mergeCell ref="AG2:AG3"/>
    <mergeCell ref="DQ2:DW2"/>
    <mergeCell ref="DE2:DE3"/>
    <mergeCell ref="CB2:CK2"/>
    <mergeCell ref="CL2:CL3"/>
    <mergeCell ref="CM2:CM3"/>
    <mergeCell ref="CN2:CN3"/>
    <mergeCell ref="CB3:CG3"/>
    <mergeCell ref="CH3:CK3"/>
    <mergeCell ref="CO3:CV3"/>
    <mergeCell ref="CW3:DB3"/>
    <mergeCell ref="DO2:DO3"/>
    <mergeCell ref="DP2:DP3"/>
    <mergeCell ref="CO2:DB2"/>
    <mergeCell ref="DC2:DC3"/>
    <mergeCell ref="DD2:DD3"/>
    <mergeCell ref="DN2:DN3"/>
  </mergeCells>
  <phoneticPr fontId="20" type="noConversion"/>
  <conditionalFormatting sqref="P5:T33">
    <cfRule type="containsText" dxfId="74" priority="19" operator="containsText" text="Withdrawn">
      <formula>NOT(ISERROR(SEARCH("Withdrawn",P5)))</formula>
    </cfRule>
  </conditionalFormatting>
  <conditionalFormatting sqref="P5:U33">
    <cfRule type="containsBlanks" dxfId="73" priority="17">
      <formula>LEN(TRIM(P5))=0</formula>
    </cfRule>
    <cfRule type="cellIs" dxfId="72" priority="97" operator="lessThan">
      <formula>40</formula>
    </cfRule>
    <cfRule type="cellIs" dxfId="71" priority="98" operator="between">
      <formula>40</formula>
      <formula>65</formula>
    </cfRule>
    <cfRule type="cellIs" dxfId="70" priority="99" operator="greaterThan">
      <formula>65</formula>
    </cfRule>
  </conditionalFormatting>
  <conditionalFormatting sqref="AE5:AF16 AE17:AE20 AF18:AF49 AE21:AF33">
    <cfRule type="containsBlanks" dxfId="69" priority="311">
      <formula>LEN(TRIM(AE5))=0</formula>
    </cfRule>
    <cfRule type="cellIs" dxfId="68" priority="312" operator="lessThan">
      <formula>50</formula>
    </cfRule>
    <cfRule type="cellIs" dxfId="67" priority="313" operator="between">
      <formula>50</formula>
      <formula>74</formula>
    </cfRule>
    <cfRule type="cellIs" dxfId="66" priority="314" operator="greaterThan">
      <formula>75</formula>
    </cfRule>
  </conditionalFormatting>
  <conditionalFormatting sqref="AI5:AM33">
    <cfRule type="containsText" dxfId="65" priority="33" operator="containsText" text="NS">
      <formula>NOT(ISERROR(SEARCH("NS",AI5)))</formula>
    </cfRule>
    <cfRule type="containsBlanks" dxfId="64" priority="92">
      <formula>LEN(TRIM(AI5))=0</formula>
    </cfRule>
    <cfRule type="cellIs" dxfId="63" priority="93" operator="greaterThan">
      <formula>65</formula>
    </cfRule>
    <cfRule type="cellIs" dxfId="62" priority="94" operator="between">
      <formula>40</formula>
      <formula>65</formula>
    </cfRule>
    <cfRule type="cellIs" dxfId="61" priority="95" operator="lessThan">
      <formula>40</formula>
    </cfRule>
  </conditionalFormatting>
  <conditionalFormatting sqref="AI7:AM33">
    <cfRule type="containsText" dxfId="60" priority="45" operator="containsText" text="ABS">
      <formula>NOT(ISERROR(SEARCH("ABS",AI7)))</formula>
    </cfRule>
  </conditionalFormatting>
  <conditionalFormatting sqref="AX5:BB33">
    <cfRule type="containsBlanks" dxfId="59" priority="88">
      <formula>LEN(TRIM(AX5))=0</formula>
    </cfRule>
    <cfRule type="cellIs" dxfId="58" priority="89" operator="greaterThan">
      <formula>65</formula>
    </cfRule>
    <cfRule type="cellIs" dxfId="57" priority="90" operator="between">
      <formula>40</formula>
      <formula>65</formula>
    </cfRule>
    <cfRule type="cellIs" dxfId="56" priority="91" operator="lessThan">
      <formula>39</formula>
    </cfRule>
  </conditionalFormatting>
  <conditionalFormatting sqref="BM13">
    <cfRule type="cellIs" dxfId="55" priority="226" operator="between">
      <formula>40</formula>
      <formula>65</formula>
    </cfRule>
  </conditionalFormatting>
  <conditionalFormatting sqref="BN5:BR33">
    <cfRule type="containsText" dxfId="54" priority="16" operator="containsText" text="ABS">
      <formula>NOT(ISERROR(SEARCH("ABS",BN5)))</formula>
    </cfRule>
    <cfRule type="containsBlanks" dxfId="53" priority="80">
      <formula>LEN(TRIM(BN5))=0</formula>
    </cfRule>
    <cfRule type="cellIs" dxfId="52" priority="81" operator="between">
      <formula>40</formula>
      <formula>65</formula>
    </cfRule>
    <cfRule type="cellIs" dxfId="51" priority="82" operator="lessThan">
      <formula>40</formula>
    </cfRule>
    <cfRule type="cellIs" dxfId="50" priority="83" operator="greaterThan">
      <formula>65</formula>
    </cfRule>
  </conditionalFormatting>
  <conditionalFormatting sqref="CB5:CF33">
    <cfRule type="containsBlanks" dxfId="49" priority="76">
      <formula>LEN(TRIM(CB5))=0</formula>
    </cfRule>
    <cfRule type="cellIs" dxfId="48" priority="77" operator="greaterThan">
      <formula>65</formula>
    </cfRule>
    <cfRule type="cellIs" dxfId="47" priority="78" operator="between">
      <formula>40</formula>
      <formula>65</formula>
    </cfRule>
    <cfRule type="cellIs" dxfId="46" priority="79" operator="lessThan">
      <formula>40</formula>
    </cfRule>
  </conditionalFormatting>
  <conditionalFormatting sqref="CO5:CT33">
    <cfRule type="containsBlanks" dxfId="45" priority="72">
      <formula>LEN(TRIM(CO5))=0</formula>
    </cfRule>
    <cfRule type="cellIs" dxfId="44" priority="73" operator="greaterThan">
      <formula>65</formula>
    </cfRule>
    <cfRule type="cellIs" dxfId="43" priority="74" operator="between">
      <formula>40</formula>
      <formula>65</formula>
    </cfRule>
    <cfRule type="cellIs" dxfId="42" priority="75" operator="lessThan">
      <formula>39</formula>
    </cfRule>
  </conditionalFormatting>
  <conditionalFormatting sqref="DF5:DH33">
    <cfRule type="containsBlanks" dxfId="41" priority="11">
      <formula>LEN(TRIM(DF5))=0</formula>
    </cfRule>
    <cfRule type="containsText" dxfId="40" priority="12" operator="containsText" text="Withdrawn">
      <formula>NOT(ISERROR(SEARCH("Withdrawn",DF5)))</formula>
    </cfRule>
    <cfRule type="cellIs" dxfId="39" priority="13" operator="lessThan">
      <formula>40</formula>
    </cfRule>
    <cfRule type="cellIs" dxfId="38" priority="14" operator="between">
      <formula>40</formula>
      <formula>65</formula>
    </cfRule>
    <cfRule type="cellIs" dxfId="37" priority="15" operator="greaterThan">
      <formula>65</formula>
    </cfRule>
  </conditionalFormatting>
  <conditionalFormatting sqref="DQ5:DS33">
    <cfRule type="containsBlanks" dxfId="36" priority="6">
      <formula>LEN(TRIM(DQ5))=0</formula>
    </cfRule>
    <cfRule type="containsText" dxfId="35" priority="7" operator="containsText" text="Withdrawn">
      <formula>NOT(ISERROR(SEARCH("Withdrawn",DQ5)))</formula>
    </cfRule>
    <cfRule type="cellIs" dxfId="34" priority="8" operator="lessThan">
      <formula>40</formula>
    </cfRule>
    <cfRule type="cellIs" dxfId="33" priority="9" operator="between">
      <formula>40</formula>
      <formula>65</formula>
    </cfRule>
    <cfRule type="cellIs" dxfId="32" priority="10" operator="greaterThan">
      <formula>65</formula>
    </cfRule>
  </conditionalFormatting>
  <conditionalFormatting sqref="EA5:EC33">
    <cfRule type="containsBlanks" dxfId="31" priority="1">
      <formula>LEN(TRIM(EA5))=0</formula>
    </cfRule>
    <cfRule type="containsText" dxfId="30" priority="2" operator="containsText" text="Withdrawn">
      <formula>NOT(ISERROR(SEARCH("Withdrawn",EA5)))</formula>
    </cfRule>
    <cfRule type="cellIs" dxfId="29" priority="3" operator="lessThan">
      <formula>40</formula>
    </cfRule>
    <cfRule type="cellIs" dxfId="28" priority="4" operator="between">
      <formula>40</formula>
      <formula>65</formula>
    </cfRule>
    <cfRule type="cellIs" dxfId="27" priority="5" operator="greaterThan">
      <formula>65</formula>
    </cfRule>
  </conditionalFormatting>
  <dataValidations count="2">
    <dataValidation type="list" allowBlank="1" showInputMessage="1" showErrorMessage="1" sqref="I5:I37" xr:uid="{2D42C404-3C2E-471F-9F4F-32EF214ED646}">
      <formula1>"Standard, Accelerated"</formula1>
    </dataValidation>
    <dataValidation type="list" allowBlank="1" showInputMessage="1" showErrorMessage="1" sqref="H5:H37" xr:uid="{EC66BFC1-EE6F-4ECD-8AE4-A94E5D878581}">
      <formula1>"Biz Mgt, Media, Computing"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32130-BC80-4862-885B-12414284F605}">
  <dimension ref="A1:CO46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13" sqref="I13"/>
    </sheetView>
  </sheetViews>
  <sheetFormatPr baseColWidth="10" defaultColWidth="9.1640625" defaultRowHeight="12.75" customHeight="1" outlineLevelCol="2"/>
  <cols>
    <col min="1" max="1" width="10.6640625" style="13" customWidth="1" outlineLevel="1"/>
    <col min="2" max="3" width="9.5" style="13" bestFit="1" customWidth="1" outlineLevel="1"/>
    <col min="4" max="6" width="9.1640625" style="13" customWidth="1" outlineLevel="1"/>
    <col min="7" max="7" width="12" style="13" customWidth="1" outlineLevel="1"/>
    <col min="8" max="8" width="10.83203125" style="13" customWidth="1" outlineLevel="1"/>
    <col min="9" max="9" width="12.1640625" style="13" customWidth="1"/>
    <col min="10" max="10" width="13.1640625" style="13" hidden="1" customWidth="1" outlineLevel="1"/>
    <col min="11" max="11" width="14" style="13" hidden="1" customWidth="1" outlineLevel="1"/>
    <col min="12" max="12" width="13.5" style="13" customWidth="1" collapsed="1"/>
    <col min="13" max="17" width="12.83203125" style="13" customWidth="1" outlineLevel="2"/>
    <col min="18" max="18" width="10.5" style="13" customWidth="1" outlineLevel="2"/>
    <col min="19" max="19" width="10.83203125" style="13" customWidth="1" outlineLevel="2"/>
    <col min="20" max="20" width="10.5" style="13" customWidth="1" outlineLevel="2"/>
    <col min="21" max="21" width="14" style="13" customWidth="1" outlineLevel="2"/>
    <col min="22" max="22" width="15.83203125" style="13" customWidth="1" outlineLevel="1"/>
    <col min="23" max="23" width="13.1640625" style="13" hidden="1" customWidth="1" outlineLevel="2"/>
    <col min="24" max="25" width="12.83203125" style="13" hidden="1" customWidth="1" outlineLevel="2"/>
    <col min="26" max="26" width="12.1640625" style="13" hidden="1" customWidth="1" outlineLevel="2"/>
    <col min="27" max="29" width="12.5" style="13" hidden="1" customWidth="1" outlineLevel="2"/>
    <col min="30" max="31" width="8.5" style="13" hidden="1" customWidth="1" outlineLevel="2"/>
    <col min="32" max="32" width="16.1640625" style="13" customWidth="1" outlineLevel="1" collapsed="1"/>
    <col min="33" max="33" width="6.1640625" style="13" customWidth="1" outlineLevel="1"/>
    <col min="34" max="34" width="6.5" style="13" customWidth="1" outlineLevel="1"/>
    <col min="35" max="35" width="12.5" style="13" customWidth="1"/>
    <col min="36" max="38" width="12" style="13" customWidth="1" outlineLevel="2"/>
    <col min="39" max="39" width="10.5" style="13" customWidth="1" outlineLevel="2"/>
    <col min="40" max="40" width="12.5" style="13" customWidth="1" outlineLevel="2"/>
    <col min="41" max="41" width="13.1640625" style="13" customWidth="1" outlineLevel="1"/>
    <col min="42" max="43" width="12" style="13" hidden="1" customWidth="1" outlineLevel="2"/>
    <col min="44" max="44" width="8" style="13" hidden="1" customWidth="1" outlineLevel="2"/>
    <col min="45" max="45" width="12.1640625" style="13" hidden="1" customWidth="1" outlineLevel="2"/>
    <col min="46" max="46" width="13.5" style="13" customWidth="1" outlineLevel="1" collapsed="1"/>
    <col min="47" max="47" width="6.1640625" style="13" customWidth="1" outlineLevel="1"/>
    <col min="48" max="48" width="6.83203125" style="13" customWidth="1" outlineLevel="1"/>
    <col min="49" max="49" width="13.83203125" style="13" bestFit="1" customWidth="1"/>
    <col min="50" max="50" width="9.83203125" style="13" customWidth="1" outlineLevel="1"/>
    <col min="51" max="53" width="12" style="13" customWidth="1" outlineLevel="2"/>
    <col min="54" max="54" width="10.5" style="13" customWidth="1" outlineLevel="2"/>
    <col min="55" max="55" width="12.5" style="13" customWidth="1" outlineLevel="2"/>
    <col min="56" max="56" width="13.1640625" style="13" customWidth="1" outlineLevel="1"/>
    <col min="57" max="59" width="12" style="13" hidden="1" customWidth="1" outlineLevel="2"/>
    <col min="60" max="60" width="11" style="13" hidden="1" customWidth="1" outlineLevel="2"/>
    <col min="61" max="61" width="12.5" style="13" hidden="1" customWidth="1" outlineLevel="2"/>
    <col min="62" max="62" width="13.5" style="13" customWidth="1" outlineLevel="1" collapsed="1"/>
    <col min="63" max="63" width="6.1640625" style="13" customWidth="1" outlineLevel="1"/>
    <col min="64" max="64" width="6.83203125" style="13" customWidth="1" outlineLevel="1"/>
    <col min="65" max="65" width="13.83203125" style="13" bestFit="1" customWidth="1"/>
    <col min="66" max="66" width="9.83203125" style="13" customWidth="1" outlineLevel="1"/>
    <col min="67" max="69" width="12" style="13" customWidth="1" outlineLevel="2"/>
    <col min="70" max="70" width="10.5" style="13" customWidth="1" outlineLevel="2"/>
    <col min="71" max="71" width="12.5" style="13" customWidth="1" outlineLevel="2"/>
    <col min="72" max="72" width="13.1640625" style="13" customWidth="1" outlineLevel="1"/>
    <col min="73" max="74" width="12" style="13" hidden="1" customWidth="1" outlineLevel="2"/>
    <col min="75" max="75" width="15.5" style="13" hidden="1" customWidth="1" outlineLevel="2"/>
    <col min="76" max="76" width="14.5" style="13" hidden="1" customWidth="1" outlineLevel="2"/>
    <col min="77" max="77" width="13.5" style="13" customWidth="1" outlineLevel="1" collapsed="1"/>
    <col min="78" max="78" width="6.1640625" style="13" customWidth="1" outlineLevel="1"/>
    <col min="79" max="79" width="6.83203125" style="13" customWidth="1" outlineLevel="1"/>
    <col min="80" max="80" width="10.5" style="13" bestFit="1" customWidth="1"/>
    <col min="81" max="83" width="12" style="13" hidden="1" customWidth="1" outlineLevel="2"/>
    <col min="84" max="84" width="9.1640625" style="13" hidden="1" customWidth="1" outlineLevel="2"/>
    <col min="85" max="85" width="12.1640625" style="13" hidden="1" customWidth="1" outlineLevel="2"/>
    <col min="86" max="86" width="13.1640625" style="13" customWidth="1" outlineLevel="1" collapsed="1"/>
    <col min="87" max="88" width="12" style="13" hidden="1" customWidth="1" outlineLevel="2"/>
    <col min="89" max="89" width="12.5" style="13" hidden="1" customWidth="1" outlineLevel="2"/>
    <col min="90" max="90" width="13.5" style="13" customWidth="1" outlineLevel="1" collapsed="1"/>
    <col min="91" max="91" width="6.1640625" style="13" customWidth="1" outlineLevel="1"/>
    <col min="92" max="92" width="6.83203125" style="13" customWidth="1" outlineLevel="1"/>
    <col min="93" max="93" width="12" style="13" bestFit="1" customWidth="1"/>
    <col min="94" max="94" width="9.1640625" style="13"/>
    <col min="95" max="95" width="15.1640625" style="13" bestFit="1" customWidth="1"/>
    <col min="96" max="96" width="11" style="13" customWidth="1"/>
    <col min="97" max="97" width="8.83203125" style="13" customWidth="1"/>
    <col min="98" max="16384" width="9.1640625" style="13"/>
  </cols>
  <sheetData>
    <row r="1" spans="1:93" s="1" customFormat="1" ht="83.5" customHeight="1">
      <c r="A1" s="114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4"/>
      <c r="BX1" s="114"/>
      <c r="BY1" s="114"/>
      <c r="BZ1" s="114"/>
      <c r="CA1" s="114"/>
      <c r="CB1" s="114"/>
      <c r="CC1" s="114"/>
      <c r="CD1" s="114"/>
      <c r="CE1" s="114"/>
      <c r="CF1" s="114"/>
      <c r="CG1" s="114"/>
      <c r="CH1" s="114"/>
      <c r="CI1" s="114"/>
      <c r="CJ1" s="114"/>
      <c r="CK1" s="114"/>
      <c r="CL1" s="114"/>
      <c r="CM1" s="114"/>
      <c r="CN1" s="114"/>
      <c r="CO1" s="114"/>
    </row>
    <row r="2" spans="1:93" s="1" customFormat="1" ht="15" customHeight="1">
      <c r="A2" s="109" t="s">
        <v>1</v>
      </c>
      <c r="B2" s="109"/>
      <c r="C2" s="109"/>
      <c r="D2" s="109"/>
      <c r="E2" s="109"/>
      <c r="F2" s="109"/>
      <c r="G2" s="109"/>
      <c r="H2" s="109"/>
      <c r="I2" s="110"/>
      <c r="J2" s="108" t="s">
        <v>2</v>
      </c>
      <c r="K2" s="109"/>
      <c r="L2" s="110"/>
      <c r="M2" s="103" t="s">
        <v>153</v>
      </c>
      <c r="N2" s="103"/>
      <c r="O2" s="103"/>
      <c r="P2" s="103"/>
      <c r="Q2" s="103"/>
      <c r="R2" s="103"/>
      <c r="S2" s="103"/>
      <c r="T2" s="103"/>
      <c r="U2" s="103"/>
      <c r="V2" s="103"/>
      <c r="W2" s="104" t="s">
        <v>3</v>
      </c>
      <c r="X2" s="100"/>
      <c r="Y2" s="100"/>
      <c r="Z2" s="100"/>
      <c r="AA2" s="100"/>
      <c r="AB2" s="100"/>
      <c r="AC2" s="100"/>
      <c r="AD2" s="100"/>
      <c r="AE2" s="100"/>
      <c r="AF2" s="101"/>
      <c r="AG2" s="102" t="s">
        <v>4</v>
      </c>
      <c r="AH2" s="102" t="s">
        <v>5</v>
      </c>
      <c r="AI2" s="102" t="s">
        <v>6</v>
      </c>
      <c r="AJ2" s="111" t="s">
        <v>7</v>
      </c>
      <c r="AK2" s="112"/>
      <c r="AL2" s="112"/>
      <c r="AM2" s="112"/>
      <c r="AN2" s="112"/>
      <c r="AO2" s="112"/>
      <c r="AP2" s="112"/>
      <c r="AQ2" s="112"/>
      <c r="AR2" s="112"/>
      <c r="AS2" s="112"/>
      <c r="AT2" s="113"/>
      <c r="AU2" s="102" t="s">
        <v>4</v>
      </c>
      <c r="AV2" s="102" t="s">
        <v>5</v>
      </c>
      <c r="AW2" s="102" t="s">
        <v>7</v>
      </c>
      <c r="AX2" s="104" t="s">
        <v>8</v>
      </c>
      <c r="AY2" s="100"/>
      <c r="AZ2" s="100"/>
      <c r="BA2" s="100"/>
      <c r="BB2" s="100"/>
      <c r="BC2" s="100"/>
      <c r="BD2" s="100"/>
      <c r="BE2" s="100"/>
      <c r="BF2" s="100"/>
      <c r="BG2" s="100"/>
      <c r="BH2" s="100"/>
      <c r="BI2" s="100"/>
      <c r="BJ2" s="101"/>
      <c r="BK2" s="102" t="s">
        <v>4</v>
      </c>
      <c r="BL2" s="102" t="s">
        <v>5</v>
      </c>
      <c r="BM2" s="102" t="s">
        <v>8</v>
      </c>
      <c r="BN2" s="104" t="s">
        <v>9</v>
      </c>
      <c r="BO2" s="100"/>
      <c r="BP2" s="100"/>
      <c r="BQ2" s="100"/>
      <c r="BR2" s="100"/>
      <c r="BS2" s="100"/>
      <c r="BT2" s="100"/>
      <c r="BU2" s="100"/>
      <c r="BV2" s="100"/>
      <c r="BW2" s="100"/>
      <c r="BX2" s="100"/>
      <c r="BY2" s="101"/>
      <c r="BZ2" s="102" t="s">
        <v>4</v>
      </c>
      <c r="CA2" s="102" t="s">
        <v>5</v>
      </c>
      <c r="CB2" s="102" t="s">
        <v>10</v>
      </c>
      <c r="CC2" s="104" t="s">
        <v>11</v>
      </c>
      <c r="CD2" s="100"/>
      <c r="CE2" s="100"/>
      <c r="CF2" s="100"/>
      <c r="CG2" s="100"/>
      <c r="CH2" s="100"/>
      <c r="CI2" s="100"/>
      <c r="CJ2" s="100"/>
      <c r="CK2" s="100"/>
      <c r="CL2" s="101"/>
      <c r="CM2" s="102" t="s">
        <v>4</v>
      </c>
      <c r="CN2" s="102" t="s">
        <v>5</v>
      </c>
      <c r="CO2" s="102" t="s">
        <v>11</v>
      </c>
    </row>
    <row r="3" spans="1:93" s="5" customFormat="1" ht="46" thickBot="1">
      <c r="A3" s="100"/>
      <c r="B3" s="100"/>
      <c r="C3" s="100"/>
      <c r="D3" s="100"/>
      <c r="E3" s="100"/>
      <c r="F3" s="100"/>
      <c r="G3" s="100"/>
      <c r="H3" s="100"/>
      <c r="I3" s="101"/>
      <c r="J3" s="104"/>
      <c r="K3" s="100"/>
      <c r="L3" s="101"/>
      <c r="M3" s="2" t="s">
        <v>31</v>
      </c>
      <c r="N3" s="2" t="s">
        <v>22</v>
      </c>
      <c r="O3" s="2" t="s">
        <v>17</v>
      </c>
      <c r="P3" s="2" t="s">
        <v>18</v>
      </c>
      <c r="Q3" s="29" t="s">
        <v>19</v>
      </c>
      <c r="R3" s="2" t="s">
        <v>20</v>
      </c>
      <c r="S3" s="2" t="s">
        <v>154</v>
      </c>
      <c r="T3" s="2" t="s">
        <v>155</v>
      </c>
      <c r="U3" s="2" t="s">
        <v>156</v>
      </c>
      <c r="V3" s="2"/>
      <c r="W3" s="2" t="s">
        <v>22</v>
      </c>
      <c r="X3" s="2" t="s">
        <v>17</v>
      </c>
      <c r="Y3" s="2" t="s">
        <v>18</v>
      </c>
      <c r="Z3" s="3" t="s">
        <v>23</v>
      </c>
      <c r="AA3" s="2" t="s">
        <v>24</v>
      </c>
      <c r="AB3" s="2" t="s">
        <v>25</v>
      </c>
      <c r="AC3" s="2" t="s">
        <v>26</v>
      </c>
      <c r="AD3" s="2" t="s">
        <v>27</v>
      </c>
      <c r="AE3" s="2" t="s">
        <v>28</v>
      </c>
      <c r="AF3" s="2"/>
      <c r="AG3" s="103"/>
      <c r="AH3" s="103"/>
      <c r="AI3" s="103"/>
      <c r="AJ3" s="105" t="s">
        <v>29</v>
      </c>
      <c r="AK3" s="106"/>
      <c r="AL3" s="106"/>
      <c r="AM3" s="106"/>
      <c r="AN3" s="106"/>
      <c r="AO3" s="107"/>
      <c r="AP3" s="105" t="s">
        <v>30</v>
      </c>
      <c r="AQ3" s="106"/>
      <c r="AR3" s="106"/>
      <c r="AS3" s="106"/>
      <c r="AT3" s="107"/>
      <c r="AU3" s="103"/>
      <c r="AV3" s="103"/>
      <c r="AW3" s="103"/>
      <c r="AX3" s="4" t="s">
        <v>31</v>
      </c>
      <c r="AY3" s="105" t="s">
        <v>29</v>
      </c>
      <c r="AZ3" s="106"/>
      <c r="BA3" s="106"/>
      <c r="BB3" s="106"/>
      <c r="BC3" s="106"/>
      <c r="BD3" s="107"/>
      <c r="BE3" s="105" t="s">
        <v>30</v>
      </c>
      <c r="BF3" s="106"/>
      <c r="BG3" s="106"/>
      <c r="BH3" s="106"/>
      <c r="BI3" s="106"/>
      <c r="BJ3" s="107"/>
      <c r="BK3" s="103"/>
      <c r="BL3" s="103"/>
      <c r="BM3" s="103"/>
      <c r="BN3" s="4" t="s">
        <v>31</v>
      </c>
      <c r="BO3" s="105" t="s">
        <v>29</v>
      </c>
      <c r="BP3" s="106"/>
      <c r="BQ3" s="106"/>
      <c r="BR3" s="106"/>
      <c r="BS3" s="106"/>
      <c r="BT3" s="107"/>
      <c r="BU3" s="105" t="s">
        <v>30</v>
      </c>
      <c r="BV3" s="106"/>
      <c r="BW3" s="106"/>
      <c r="BX3" s="106"/>
      <c r="BY3" s="107"/>
      <c r="BZ3" s="103"/>
      <c r="CA3" s="103"/>
      <c r="CB3" s="103"/>
      <c r="CC3" s="105" t="s">
        <v>29</v>
      </c>
      <c r="CD3" s="106"/>
      <c r="CE3" s="106"/>
      <c r="CF3" s="106"/>
      <c r="CG3" s="106"/>
      <c r="CH3" s="107"/>
      <c r="CI3" s="105" t="s">
        <v>30</v>
      </c>
      <c r="CJ3" s="106"/>
      <c r="CK3" s="106"/>
      <c r="CL3" s="107"/>
      <c r="CM3" s="103"/>
      <c r="CN3" s="103"/>
      <c r="CO3" s="103"/>
    </row>
    <row r="4" spans="1:93" s="5" customFormat="1" ht="56.25" customHeight="1" thickBot="1">
      <c r="A4" s="6" t="s">
        <v>32</v>
      </c>
      <c r="B4" s="20" t="s">
        <v>33</v>
      </c>
      <c r="C4" s="20" t="s">
        <v>34</v>
      </c>
      <c r="D4" s="6" t="s">
        <v>35</v>
      </c>
      <c r="E4" s="6" t="s">
        <v>36</v>
      </c>
      <c r="F4" s="20" t="s">
        <v>37</v>
      </c>
      <c r="G4" s="20" t="s">
        <v>38</v>
      </c>
      <c r="H4" s="20" t="s">
        <v>39</v>
      </c>
      <c r="I4" s="23"/>
      <c r="J4" s="6" t="s">
        <v>40</v>
      </c>
      <c r="K4" s="6" t="s">
        <v>41</v>
      </c>
      <c r="L4" s="6"/>
      <c r="M4" s="20"/>
      <c r="N4" s="20"/>
      <c r="O4" s="20"/>
      <c r="P4" s="6"/>
      <c r="Q4" s="6"/>
      <c r="R4" s="6" t="s">
        <v>42</v>
      </c>
      <c r="S4" s="6" t="s">
        <v>43</v>
      </c>
      <c r="T4" s="6" t="s">
        <v>44</v>
      </c>
      <c r="U4" s="6" t="s">
        <v>45</v>
      </c>
      <c r="V4" s="6"/>
      <c r="W4" s="6"/>
      <c r="X4" s="6"/>
      <c r="Y4" s="6"/>
      <c r="Z4" s="6" t="s">
        <v>46</v>
      </c>
      <c r="AA4" s="6" t="s">
        <v>47</v>
      </c>
      <c r="AB4" s="6" t="s">
        <v>48</v>
      </c>
      <c r="AC4" s="6" t="s">
        <v>49</v>
      </c>
      <c r="AD4" s="6"/>
      <c r="AE4" s="6"/>
      <c r="AF4" s="6"/>
      <c r="AG4" s="8"/>
      <c r="AH4" s="8"/>
      <c r="AI4" s="9"/>
      <c r="AJ4" s="23" t="s">
        <v>22</v>
      </c>
      <c r="AK4" s="6" t="s">
        <v>17</v>
      </c>
      <c r="AL4" s="6" t="s">
        <v>18</v>
      </c>
      <c r="AM4" s="6" t="s">
        <v>50</v>
      </c>
      <c r="AN4" s="6" t="s">
        <v>51</v>
      </c>
      <c r="AO4" s="6"/>
      <c r="AP4" s="7" t="s">
        <v>22</v>
      </c>
      <c r="AQ4" s="6" t="s">
        <v>17</v>
      </c>
      <c r="AR4" s="6" t="s">
        <v>52</v>
      </c>
      <c r="AS4" s="6" t="s">
        <v>53</v>
      </c>
      <c r="AT4" s="6"/>
      <c r="AU4" s="8"/>
      <c r="AV4" s="8"/>
      <c r="AW4" s="10"/>
      <c r="AX4" s="11"/>
      <c r="AY4" s="7" t="s">
        <v>22</v>
      </c>
      <c r="AZ4" s="6" t="s">
        <v>17</v>
      </c>
      <c r="BA4" s="6" t="s">
        <v>18</v>
      </c>
      <c r="BB4" s="6" t="s">
        <v>54</v>
      </c>
      <c r="BC4" s="6" t="s">
        <v>55</v>
      </c>
      <c r="BD4" s="6"/>
      <c r="BE4" s="7" t="s">
        <v>22</v>
      </c>
      <c r="BF4" s="6" t="s">
        <v>17</v>
      </c>
      <c r="BG4" s="6" t="s">
        <v>18</v>
      </c>
      <c r="BH4" s="6" t="s">
        <v>56</v>
      </c>
      <c r="BI4" s="6" t="s">
        <v>57</v>
      </c>
      <c r="BJ4" s="6"/>
      <c r="BK4" s="8"/>
      <c r="BL4" s="8"/>
      <c r="BM4" s="10"/>
      <c r="BN4" s="12"/>
      <c r="BO4" s="23" t="s">
        <v>22</v>
      </c>
      <c r="BP4" s="20" t="s">
        <v>17</v>
      </c>
      <c r="BQ4" s="6" t="s">
        <v>18</v>
      </c>
      <c r="BR4" s="6" t="s">
        <v>58</v>
      </c>
      <c r="BS4" s="6" t="s">
        <v>59</v>
      </c>
      <c r="BT4" s="6"/>
      <c r="BU4" s="7" t="s">
        <v>22</v>
      </c>
      <c r="BV4" s="6" t="s">
        <v>17</v>
      </c>
      <c r="BW4" s="6" t="s">
        <v>60</v>
      </c>
      <c r="BX4" s="6" t="s">
        <v>61</v>
      </c>
      <c r="BY4" s="6"/>
      <c r="BZ4" s="8"/>
      <c r="CA4" s="8"/>
      <c r="CB4" s="8"/>
      <c r="CC4" s="23" t="s">
        <v>22</v>
      </c>
      <c r="CD4" s="20" t="s">
        <v>17</v>
      </c>
      <c r="CE4" s="6" t="s">
        <v>18</v>
      </c>
      <c r="CF4" s="6" t="s">
        <v>62</v>
      </c>
      <c r="CG4" s="6" t="s">
        <v>59</v>
      </c>
      <c r="CH4" s="6"/>
      <c r="CI4" s="7" t="s">
        <v>22</v>
      </c>
      <c r="CJ4" s="6" t="s">
        <v>17</v>
      </c>
      <c r="CK4" s="6" t="s">
        <v>63</v>
      </c>
      <c r="CL4" s="6"/>
      <c r="CM4" s="8"/>
      <c r="CN4" s="8"/>
      <c r="CO4" s="8"/>
    </row>
    <row r="5" spans="1:93" s="1" customFormat="1" ht="15">
      <c r="A5" s="80">
        <v>51111789</v>
      </c>
      <c r="B5" s="79" t="s">
        <v>157</v>
      </c>
      <c r="C5" s="79" t="s">
        <v>158</v>
      </c>
      <c r="D5" s="59" t="s">
        <v>85</v>
      </c>
      <c r="E5" s="59" t="s">
        <v>159</v>
      </c>
      <c r="F5" s="60">
        <v>45992</v>
      </c>
      <c r="G5" s="61" t="s">
        <v>94</v>
      </c>
      <c r="H5" s="62" t="s">
        <v>88</v>
      </c>
      <c r="I5" s="63"/>
      <c r="J5" s="64"/>
      <c r="K5" s="61"/>
      <c r="L5" s="61"/>
      <c r="M5" s="21"/>
      <c r="N5" s="22"/>
      <c r="O5" s="22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24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5"/>
      <c r="BP5" s="65"/>
      <c r="BQ5" s="61"/>
      <c r="BR5" s="61"/>
      <c r="BS5" s="61"/>
      <c r="BT5" s="61"/>
      <c r="BU5" s="61"/>
      <c r="BV5" s="61"/>
      <c r="BW5" s="61"/>
      <c r="BX5" s="61"/>
      <c r="BY5" s="65"/>
      <c r="BZ5" s="65"/>
      <c r="CA5" s="65"/>
      <c r="CB5" s="65"/>
      <c r="CC5" s="65"/>
      <c r="CD5" s="25"/>
      <c r="CE5" s="65"/>
      <c r="CF5" s="65"/>
      <c r="CG5" s="65"/>
      <c r="CH5" s="65"/>
      <c r="CI5" s="65"/>
      <c r="CJ5" s="65"/>
      <c r="CK5" s="65"/>
      <c r="CL5" s="65"/>
      <c r="CM5" s="65"/>
      <c r="CN5" s="65"/>
      <c r="CO5" s="65"/>
    </row>
    <row r="6" spans="1:93" s="1" customFormat="1" ht="15">
      <c r="A6" s="80">
        <v>51111790</v>
      </c>
      <c r="B6" s="79" t="s">
        <v>160</v>
      </c>
      <c r="C6" s="79" t="s">
        <v>161</v>
      </c>
      <c r="D6" s="59" t="s">
        <v>85</v>
      </c>
      <c r="E6" s="59" t="s">
        <v>159</v>
      </c>
      <c r="F6" s="60">
        <v>45992</v>
      </c>
      <c r="G6" s="61" t="s">
        <v>94</v>
      </c>
      <c r="H6" s="62" t="s">
        <v>88</v>
      </c>
      <c r="I6" s="63"/>
      <c r="J6" s="64"/>
      <c r="K6" s="61"/>
      <c r="L6" s="61"/>
      <c r="M6" s="21"/>
      <c r="N6" s="22"/>
      <c r="O6" s="22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24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5"/>
      <c r="BP6" s="65"/>
      <c r="BQ6" s="61"/>
      <c r="BR6" s="61"/>
      <c r="BS6" s="61"/>
      <c r="BT6" s="61"/>
      <c r="BU6" s="61"/>
      <c r="BV6" s="61"/>
      <c r="BW6" s="61"/>
      <c r="BX6" s="61"/>
      <c r="BY6" s="65"/>
      <c r="BZ6" s="65"/>
      <c r="CA6" s="65"/>
      <c r="CB6" s="65"/>
      <c r="CC6" s="65"/>
      <c r="CD6" s="2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</row>
    <row r="7" spans="1:93" s="1" customFormat="1" ht="15">
      <c r="A7" s="80">
        <v>51111791</v>
      </c>
      <c r="B7" s="79" t="s">
        <v>162</v>
      </c>
      <c r="C7" s="79" t="s">
        <v>101</v>
      </c>
      <c r="D7" s="59" t="s">
        <v>85</v>
      </c>
      <c r="E7" s="59" t="s">
        <v>159</v>
      </c>
      <c r="F7" s="60">
        <v>45992</v>
      </c>
      <c r="G7" s="61" t="s">
        <v>94</v>
      </c>
      <c r="H7" s="62" t="s">
        <v>88</v>
      </c>
      <c r="I7" s="63"/>
      <c r="J7" s="66"/>
      <c r="K7" s="67"/>
      <c r="L7" s="67"/>
      <c r="M7" s="21"/>
      <c r="N7" s="22"/>
      <c r="O7" s="22"/>
      <c r="P7" s="67"/>
      <c r="Q7" s="65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24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2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</row>
    <row r="8" spans="1:93" s="1" customFormat="1" ht="15">
      <c r="A8" s="80">
        <v>51111792</v>
      </c>
      <c r="B8" s="79" t="s">
        <v>163</v>
      </c>
      <c r="C8" s="79" t="s">
        <v>164</v>
      </c>
      <c r="D8" s="59" t="s">
        <v>85</v>
      </c>
      <c r="E8" s="59" t="s">
        <v>159</v>
      </c>
      <c r="F8" s="60">
        <v>45992</v>
      </c>
      <c r="G8" s="61" t="s">
        <v>94</v>
      </c>
      <c r="H8" s="62" t="s">
        <v>88</v>
      </c>
      <c r="I8" s="63"/>
      <c r="J8" s="66"/>
      <c r="K8" s="67"/>
      <c r="L8" s="67"/>
      <c r="M8" s="21"/>
      <c r="N8" s="22"/>
      <c r="O8" s="22"/>
      <c r="P8" s="67"/>
      <c r="Q8" s="65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24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25"/>
      <c r="CE8" s="65"/>
      <c r="CF8" s="65"/>
      <c r="CG8" s="65"/>
      <c r="CH8" s="65"/>
      <c r="CI8" s="65"/>
      <c r="CJ8" s="65"/>
      <c r="CK8" s="65"/>
      <c r="CL8" s="65"/>
      <c r="CM8" s="65"/>
      <c r="CN8" s="65"/>
      <c r="CO8" s="65"/>
    </row>
    <row r="9" spans="1:93" s="1" customFormat="1" ht="15">
      <c r="A9" s="80">
        <v>51111793</v>
      </c>
      <c r="B9" s="79" t="s">
        <v>165</v>
      </c>
      <c r="C9" s="79" t="s">
        <v>166</v>
      </c>
      <c r="D9" s="59" t="s">
        <v>85</v>
      </c>
      <c r="E9" s="59" t="s">
        <v>159</v>
      </c>
      <c r="F9" s="60">
        <v>45992</v>
      </c>
      <c r="G9" s="61" t="s">
        <v>94</v>
      </c>
      <c r="H9" s="62" t="s">
        <v>88</v>
      </c>
      <c r="I9" s="63"/>
      <c r="J9" s="66"/>
      <c r="K9" s="67"/>
      <c r="L9" s="67"/>
      <c r="M9" s="22"/>
      <c r="N9" s="22"/>
      <c r="O9" s="22"/>
      <c r="P9" s="67"/>
      <c r="Q9" s="65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24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8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2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</row>
    <row r="10" spans="1:93" s="1" customFormat="1" ht="15">
      <c r="A10" s="80">
        <v>51111794</v>
      </c>
      <c r="B10" s="79" t="s">
        <v>167</v>
      </c>
      <c r="C10" s="79" t="s">
        <v>123</v>
      </c>
      <c r="D10" s="59" t="s">
        <v>85</v>
      </c>
      <c r="E10" s="59" t="s">
        <v>159</v>
      </c>
      <c r="F10" s="60">
        <v>45992</v>
      </c>
      <c r="G10" s="61" t="s">
        <v>94</v>
      </c>
      <c r="H10" s="62" t="s">
        <v>88</v>
      </c>
      <c r="I10" s="63"/>
      <c r="J10" s="66"/>
      <c r="K10" s="67"/>
      <c r="L10" s="67"/>
      <c r="M10" s="21"/>
      <c r="N10" s="22"/>
      <c r="O10" s="22"/>
      <c r="P10" s="67"/>
      <c r="Q10" s="65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24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2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</row>
    <row r="11" spans="1:93" s="1" customFormat="1" ht="15">
      <c r="A11" s="80">
        <v>51111795</v>
      </c>
      <c r="B11" s="79" t="s">
        <v>168</v>
      </c>
      <c r="C11" s="79" t="s">
        <v>123</v>
      </c>
      <c r="D11" s="59" t="s">
        <v>85</v>
      </c>
      <c r="E11" s="59" t="s">
        <v>159</v>
      </c>
      <c r="F11" s="60">
        <v>45992</v>
      </c>
      <c r="G11" s="61" t="s">
        <v>94</v>
      </c>
      <c r="H11" s="62" t="s">
        <v>88</v>
      </c>
      <c r="I11" s="63"/>
      <c r="J11" s="64"/>
      <c r="K11" s="61"/>
      <c r="L11" s="61"/>
      <c r="M11" s="21"/>
      <c r="N11" s="22"/>
      <c r="O11" s="22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24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5"/>
      <c r="BP11" s="65"/>
      <c r="BQ11" s="61"/>
      <c r="BR11" s="61"/>
      <c r="BS11" s="61"/>
      <c r="BT11" s="61"/>
      <c r="BU11" s="61"/>
      <c r="BV11" s="61"/>
      <c r="BW11" s="61"/>
      <c r="BX11" s="61"/>
      <c r="BY11" s="65"/>
      <c r="BZ11" s="65"/>
      <c r="CA11" s="65"/>
      <c r="CB11" s="65"/>
      <c r="CC11" s="67"/>
      <c r="CD11" s="25"/>
      <c r="CE11" s="67"/>
      <c r="CF11" s="67"/>
      <c r="CG11" s="67"/>
      <c r="CH11" s="67"/>
      <c r="CI11" s="67"/>
      <c r="CJ11" s="67"/>
      <c r="CK11" s="67"/>
      <c r="CL11" s="67"/>
      <c r="CM11" s="67"/>
      <c r="CN11" s="67"/>
      <c r="CO11" s="67"/>
    </row>
    <row r="12" spans="1:93" s="1" customFormat="1" ht="15">
      <c r="A12" s="80">
        <v>51111796</v>
      </c>
      <c r="B12" s="79" t="s">
        <v>169</v>
      </c>
      <c r="C12" s="79" t="s">
        <v>170</v>
      </c>
      <c r="D12" s="59" t="s">
        <v>85</v>
      </c>
      <c r="E12" s="59" t="s">
        <v>159</v>
      </c>
      <c r="F12" s="60">
        <v>45992</v>
      </c>
      <c r="G12" s="61" t="s">
        <v>94</v>
      </c>
      <c r="H12" s="62" t="s">
        <v>88</v>
      </c>
      <c r="I12" s="63"/>
      <c r="J12" s="66"/>
      <c r="K12" s="67"/>
      <c r="L12" s="67"/>
      <c r="M12" s="22"/>
      <c r="N12" s="22"/>
      <c r="O12" s="22"/>
      <c r="P12" s="67"/>
      <c r="Q12" s="65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24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25"/>
      <c r="CE12" s="65"/>
      <c r="CF12" s="65"/>
      <c r="CG12" s="65"/>
      <c r="CH12" s="65"/>
      <c r="CI12" s="65"/>
      <c r="CJ12" s="65"/>
      <c r="CK12" s="65"/>
      <c r="CL12" s="65"/>
      <c r="CM12" s="65"/>
      <c r="CN12" s="65"/>
      <c r="CO12" s="65"/>
    </row>
    <row r="13" spans="1:93" s="1" customFormat="1" ht="15">
      <c r="A13" s="80">
        <v>51111797</v>
      </c>
      <c r="B13" s="79" t="s">
        <v>171</v>
      </c>
      <c r="C13" s="79" t="s">
        <v>130</v>
      </c>
      <c r="D13" s="59" t="s">
        <v>85</v>
      </c>
      <c r="E13" s="59" t="s">
        <v>159</v>
      </c>
      <c r="F13" s="60">
        <v>45992</v>
      </c>
      <c r="G13" s="61" t="s">
        <v>94</v>
      </c>
      <c r="H13" s="62" t="s">
        <v>88</v>
      </c>
      <c r="I13" s="63"/>
      <c r="J13" s="66"/>
      <c r="K13" s="67"/>
      <c r="L13" s="67"/>
      <c r="M13" s="22"/>
      <c r="N13" s="22"/>
      <c r="O13" s="22"/>
      <c r="P13" s="67"/>
      <c r="Q13" s="65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24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1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25"/>
      <c r="CE13" s="65"/>
      <c r="CF13" s="65"/>
      <c r="CG13" s="65"/>
      <c r="CH13" s="65"/>
      <c r="CI13" s="65"/>
      <c r="CJ13" s="65"/>
      <c r="CK13" s="65"/>
      <c r="CL13" s="65"/>
      <c r="CM13" s="65"/>
      <c r="CN13" s="65"/>
      <c r="CO13" s="65"/>
    </row>
    <row r="14" spans="1:93" s="1" customFormat="1" ht="15">
      <c r="A14" s="80">
        <v>51111798</v>
      </c>
      <c r="B14" s="79" t="s">
        <v>172</v>
      </c>
      <c r="C14" s="79" t="s">
        <v>173</v>
      </c>
      <c r="D14" s="59" t="s">
        <v>85</v>
      </c>
      <c r="E14" s="59" t="s">
        <v>159</v>
      </c>
      <c r="F14" s="60">
        <v>45992</v>
      </c>
      <c r="G14" s="61" t="s">
        <v>94</v>
      </c>
      <c r="H14" s="62" t="s">
        <v>88</v>
      </c>
      <c r="I14" s="63"/>
      <c r="J14" s="66"/>
      <c r="K14" s="67"/>
      <c r="L14" s="67"/>
      <c r="M14" s="22"/>
      <c r="N14" s="22"/>
      <c r="O14" s="22"/>
      <c r="P14" s="67"/>
      <c r="Q14" s="69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24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70"/>
      <c r="BP14" s="70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70"/>
      <c r="CC14" s="65"/>
      <c r="CD14" s="25"/>
      <c r="CE14" s="65"/>
      <c r="CF14" s="65"/>
      <c r="CG14" s="65"/>
      <c r="CH14" s="65"/>
      <c r="CI14" s="65"/>
      <c r="CJ14" s="65"/>
      <c r="CK14" s="65"/>
      <c r="CL14" s="65"/>
      <c r="CM14" s="65"/>
      <c r="CN14" s="65"/>
      <c r="CO14" s="65"/>
    </row>
    <row r="15" spans="1:93" s="1" customFormat="1" ht="15">
      <c r="A15" s="80">
        <v>51111799</v>
      </c>
      <c r="B15" s="79" t="s">
        <v>174</v>
      </c>
      <c r="C15" s="79" t="s">
        <v>175</v>
      </c>
      <c r="D15" s="59" t="s">
        <v>85</v>
      </c>
      <c r="E15" s="59" t="s">
        <v>159</v>
      </c>
      <c r="F15" s="60">
        <v>45992</v>
      </c>
      <c r="G15" s="61" t="s">
        <v>94</v>
      </c>
      <c r="H15" s="62" t="s">
        <v>88</v>
      </c>
      <c r="I15" s="63"/>
      <c r="J15" s="66"/>
      <c r="K15" s="67"/>
      <c r="L15" s="67"/>
      <c r="M15" s="21"/>
      <c r="N15" s="22"/>
      <c r="O15" s="22"/>
      <c r="P15" s="67"/>
      <c r="Q15" s="65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24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5"/>
      <c r="BQ15" s="65"/>
      <c r="BR15" s="65"/>
      <c r="BS15" s="65"/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25"/>
      <c r="CE15" s="65"/>
      <c r="CF15" s="65"/>
      <c r="CG15" s="65"/>
      <c r="CH15" s="65"/>
      <c r="CI15" s="65"/>
      <c r="CJ15" s="65"/>
      <c r="CK15" s="65"/>
      <c r="CL15" s="65"/>
      <c r="CM15" s="65"/>
      <c r="CN15" s="65"/>
      <c r="CO15" s="65"/>
    </row>
    <row r="16" spans="1:93" s="1" customFormat="1" ht="15">
      <c r="A16" s="80">
        <v>51111800</v>
      </c>
      <c r="B16" s="79" t="s">
        <v>176</v>
      </c>
      <c r="C16" s="79" t="s">
        <v>177</v>
      </c>
      <c r="D16" s="59" t="s">
        <v>85</v>
      </c>
      <c r="E16" s="59" t="s">
        <v>159</v>
      </c>
      <c r="F16" s="60">
        <v>45992</v>
      </c>
      <c r="G16" s="61" t="s">
        <v>94</v>
      </c>
      <c r="H16" s="62" t="s">
        <v>88</v>
      </c>
      <c r="I16" s="63"/>
      <c r="J16" s="66"/>
      <c r="K16" s="67"/>
      <c r="L16" s="67"/>
      <c r="M16" s="21"/>
      <c r="N16" s="22"/>
      <c r="O16" s="22"/>
      <c r="P16" s="67"/>
      <c r="Q16" s="65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24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1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/>
      <c r="CB16" s="65"/>
      <c r="CC16" s="71"/>
      <c r="CD16" s="25"/>
      <c r="CE16" s="65"/>
      <c r="CF16" s="65"/>
      <c r="CG16" s="65"/>
      <c r="CH16" s="65"/>
      <c r="CI16" s="65"/>
      <c r="CJ16" s="65"/>
      <c r="CK16" s="65"/>
      <c r="CL16" s="65"/>
      <c r="CM16" s="65"/>
      <c r="CN16" s="65"/>
      <c r="CO16" s="65"/>
    </row>
    <row r="17" spans="1:93" s="1" customFormat="1" ht="15">
      <c r="A17" s="80">
        <v>51111801</v>
      </c>
      <c r="B17" s="79" t="s">
        <v>112</v>
      </c>
      <c r="C17" s="79" t="s">
        <v>178</v>
      </c>
      <c r="D17" s="59" t="s">
        <v>85</v>
      </c>
      <c r="E17" s="59" t="s">
        <v>159</v>
      </c>
      <c r="F17" s="60">
        <v>45992</v>
      </c>
      <c r="G17" s="61" t="s">
        <v>94</v>
      </c>
      <c r="H17" s="62" t="s">
        <v>88</v>
      </c>
      <c r="I17" s="63"/>
      <c r="J17" s="72"/>
      <c r="K17" s="73"/>
      <c r="L17" s="73"/>
      <c r="M17" s="21"/>
      <c r="N17" s="22"/>
      <c r="O17" s="22"/>
      <c r="P17" s="73"/>
      <c r="Q17" s="68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24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68"/>
      <c r="BK17" s="68"/>
      <c r="BL17" s="68"/>
      <c r="BM17" s="68"/>
      <c r="BN17" s="68"/>
      <c r="BO17" s="74"/>
      <c r="BP17" s="74"/>
      <c r="BQ17" s="68"/>
      <c r="BR17" s="68"/>
      <c r="BS17" s="68"/>
      <c r="BT17" s="68"/>
      <c r="BU17" s="68"/>
      <c r="BV17" s="68"/>
      <c r="BW17" s="68"/>
      <c r="BX17" s="68"/>
      <c r="BY17" s="74"/>
      <c r="BZ17" s="69"/>
      <c r="CA17" s="69"/>
      <c r="CB17" s="74"/>
      <c r="CC17" s="74"/>
      <c r="CD17" s="25"/>
      <c r="CE17" s="74"/>
      <c r="CF17" s="74"/>
      <c r="CG17" s="74"/>
      <c r="CH17" s="74"/>
      <c r="CI17" s="74"/>
      <c r="CJ17" s="74"/>
      <c r="CK17" s="74"/>
      <c r="CL17" s="74"/>
      <c r="CM17" s="74"/>
      <c r="CN17" s="74"/>
      <c r="CO17" s="74"/>
    </row>
    <row r="18" spans="1:93" s="1" customFormat="1" ht="15">
      <c r="A18" s="80">
        <v>51111802</v>
      </c>
      <c r="B18" s="79" t="s">
        <v>179</v>
      </c>
      <c r="C18" s="79" t="s">
        <v>180</v>
      </c>
      <c r="D18" s="59" t="s">
        <v>85</v>
      </c>
      <c r="E18" s="59" t="s">
        <v>159</v>
      </c>
      <c r="F18" s="60">
        <v>45992</v>
      </c>
      <c r="G18" s="61" t="s">
        <v>94</v>
      </c>
      <c r="H18" s="62" t="s">
        <v>88</v>
      </c>
      <c r="I18" s="63"/>
      <c r="J18" s="66"/>
      <c r="K18" s="67"/>
      <c r="L18" s="67"/>
      <c r="M18" s="21"/>
      <c r="N18" s="22"/>
      <c r="O18" s="22"/>
      <c r="P18" s="67"/>
      <c r="Q18" s="65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24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25"/>
      <c r="CE18" s="65"/>
      <c r="CF18" s="65"/>
      <c r="CG18" s="65"/>
      <c r="CH18" s="65"/>
      <c r="CI18" s="65"/>
      <c r="CJ18" s="65"/>
      <c r="CK18" s="65"/>
      <c r="CL18" s="65"/>
      <c r="CM18" s="65"/>
      <c r="CN18" s="65"/>
      <c r="CO18" s="65"/>
    </row>
    <row r="19" spans="1:93" s="75" customFormat="1" ht="15">
      <c r="A19" s="59"/>
      <c r="B19" s="46"/>
      <c r="C19" s="47"/>
      <c r="D19" s="59"/>
      <c r="E19" s="59"/>
      <c r="F19" s="60"/>
      <c r="G19" s="61"/>
      <c r="H19" s="62"/>
      <c r="I19" s="63"/>
      <c r="J19" s="66"/>
      <c r="K19" s="67"/>
      <c r="L19" s="67"/>
      <c r="M19" s="21"/>
      <c r="N19" s="22"/>
      <c r="O19" s="22"/>
      <c r="P19" s="67"/>
      <c r="Q19" s="54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24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25"/>
      <c r="CE19" s="65"/>
      <c r="CF19" s="65"/>
      <c r="CG19" s="65"/>
      <c r="CH19" s="65"/>
      <c r="CI19" s="65"/>
      <c r="CJ19" s="65"/>
      <c r="CK19" s="65"/>
      <c r="CL19" s="65"/>
      <c r="CM19" s="65"/>
      <c r="CN19" s="65"/>
      <c r="CO19" s="65"/>
    </row>
    <row r="20" spans="1:93" s="1" customFormat="1" ht="15">
      <c r="A20" s="59"/>
      <c r="B20" s="46"/>
      <c r="C20" s="47"/>
      <c r="D20" s="61"/>
      <c r="E20" s="61"/>
      <c r="F20" s="60"/>
      <c r="G20" s="61"/>
      <c r="H20" s="62"/>
      <c r="I20" s="63"/>
      <c r="J20" s="72"/>
      <c r="K20" s="73"/>
      <c r="L20" s="73"/>
      <c r="M20" s="21"/>
      <c r="N20" s="22"/>
      <c r="O20" s="22"/>
      <c r="P20" s="73"/>
      <c r="Q20" s="68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24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73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68"/>
      <c r="BK20" s="68"/>
      <c r="BL20" s="68"/>
      <c r="BM20" s="68"/>
      <c r="BN20" s="68"/>
      <c r="BO20" s="74"/>
      <c r="BP20" s="74"/>
      <c r="BQ20" s="68"/>
      <c r="BR20" s="68"/>
      <c r="BS20" s="68"/>
      <c r="BT20" s="68"/>
      <c r="BU20" s="68"/>
      <c r="BV20" s="68"/>
      <c r="BW20" s="68"/>
      <c r="BX20" s="68"/>
      <c r="BY20" s="74"/>
      <c r="BZ20" s="69"/>
      <c r="CA20" s="69"/>
      <c r="CB20" s="74"/>
      <c r="CC20" s="74"/>
      <c r="CD20" s="25"/>
      <c r="CE20" s="74"/>
      <c r="CF20" s="74"/>
      <c r="CG20" s="74"/>
      <c r="CH20" s="74"/>
      <c r="CI20" s="74"/>
      <c r="CJ20" s="74"/>
      <c r="CK20" s="74"/>
      <c r="CL20" s="74"/>
      <c r="CM20" s="74"/>
      <c r="CN20" s="74"/>
      <c r="CO20" s="74"/>
    </row>
    <row r="21" spans="1:93" s="1" customFormat="1" ht="15">
      <c r="A21" s="59"/>
      <c r="B21" s="46"/>
      <c r="C21" s="47"/>
      <c r="D21" s="61"/>
      <c r="E21" s="61"/>
      <c r="F21" s="60"/>
      <c r="G21" s="61"/>
      <c r="H21" s="62"/>
      <c r="I21" s="63"/>
      <c r="J21" s="66"/>
      <c r="K21" s="67"/>
      <c r="L21" s="67"/>
      <c r="M21" s="21"/>
      <c r="N21" s="22"/>
      <c r="O21" s="22"/>
      <c r="P21" s="67"/>
      <c r="Q21" s="65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24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65"/>
      <c r="BW21" s="65"/>
      <c r="BX21" s="65"/>
      <c r="BY21" s="65"/>
      <c r="BZ21" s="65"/>
      <c r="CA21" s="65"/>
      <c r="CB21" s="65"/>
      <c r="CC21" s="65"/>
      <c r="CD21" s="25"/>
      <c r="CE21" s="65"/>
      <c r="CF21" s="65"/>
      <c r="CG21" s="65"/>
      <c r="CH21" s="65"/>
      <c r="CI21" s="65"/>
      <c r="CJ21" s="65"/>
      <c r="CK21" s="65"/>
      <c r="CL21" s="65"/>
      <c r="CM21" s="65"/>
      <c r="CN21" s="65"/>
      <c r="CO21" s="65"/>
    </row>
    <row r="22" spans="1:93" s="1" customFormat="1" ht="15">
      <c r="A22" s="59"/>
      <c r="B22" s="76"/>
      <c r="C22" s="47"/>
      <c r="D22" s="61"/>
      <c r="E22" s="61"/>
      <c r="F22" s="60"/>
      <c r="G22" s="61"/>
      <c r="H22" s="62"/>
      <c r="I22" s="63"/>
      <c r="J22" s="77"/>
      <c r="K22" s="78"/>
      <c r="L22" s="78"/>
      <c r="M22" s="43"/>
      <c r="N22" s="43"/>
      <c r="O22" s="43"/>
      <c r="P22" s="78"/>
      <c r="Q22" s="61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44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45"/>
      <c r="CE22" s="61"/>
      <c r="CF22" s="61"/>
      <c r="CG22" s="61"/>
      <c r="CH22" s="61"/>
      <c r="CI22" s="61"/>
      <c r="CJ22" s="61"/>
      <c r="CK22" s="61"/>
      <c r="CL22" s="61"/>
      <c r="CM22" s="61"/>
      <c r="CN22" s="61"/>
      <c r="CO22" s="61"/>
    </row>
    <row r="23" spans="1:93" s="1" customFormat="1" ht="15">
      <c r="A23" s="59"/>
      <c r="B23" s="76"/>
      <c r="C23" s="47"/>
      <c r="D23" s="59"/>
      <c r="E23" s="59"/>
      <c r="F23" s="60"/>
      <c r="G23" s="61"/>
      <c r="H23" s="62"/>
      <c r="I23" s="63"/>
      <c r="J23" s="66"/>
      <c r="K23" s="67"/>
      <c r="L23" s="67"/>
      <c r="M23" s="21"/>
      <c r="N23" s="22"/>
      <c r="O23" s="22"/>
      <c r="P23" s="67"/>
      <c r="Q23" s="65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24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25"/>
      <c r="CE23" s="65"/>
      <c r="CF23" s="65"/>
      <c r="CG23" s="65"/>
      <c r="CH23" s="65"/>
      <c r="CI23" s="65"/>
      <c r="CJ23" s="65"/>
      <c r="CK23" s="65"/>
      <c r="CL23" s="65"/>
      <c r="CM23" s="65"/>
      <c r="CN23" s="65"/>
      <c r="CO23" s="65"/>
    </row>
    <row r="24" spans="1:93" s="1" customFormat="1" ht="15">
      <c r="A24" s="59"/>
      <c r="B24" s="46"/>
      <c r="C24" s="47"/>
      <c r="D24" s="61"/>
      <c r="E24" s="61"/>
      <c r="F24" s="60"/>
      <c r="G24" s="61"/>
      <c r="H24" s="62"/>
      <c r="I24" s="63"/>
      <c r="J24" s="72"/>
      <c r="K24" s="73"/>
      <c r="L24" s="73"/>
      <c r="M24" s="21"/>
      <c r="N24" s="22"/>
      <c r="O24" s="22"/>
      <c r="P24" s="73"/>
      <c r="Q24" s="68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24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68"/>
      <c r="BK24" s="68"/>
      <c r="BL24" s="68"/>
      <c r="BM24" s="68"/>
      <c r="BN24" s="68"/>
      <c r="BO24" s="74"/>
      <c r="BP24" s="74"/>
      <c r="BQ24" s="68"/>
      <c r="BR24" s="68"/>
      <c r="BS24" s="68"/>
      <c r="BT24" s="68"/>
      <c r="BU24" s="68"/>
      <c r="BV24" s="68"/>
      <c r="BW24" s="68"/>
      <c r="BX24" s="68"/>
      <c r="BY24" s="74"/>
      <c r="BZ24" s="69"/>
      <c r="CA24" s="69"/>
      <c r="CB24" s="74"/>
      <c r="CC24" s="74"/>
      <c r="CD24" s="25"/>
      <c r="CE24" s="74"/>
      <c r="CF24" s="74"/>
      <c r="CG24" s="74"/>
      <c r="CH24" s="74"/>
      <c r="CI24" s="74"/>
      <c r="CJ24" s="74"/>
      <c r="CK24" s="74"/>
      <c r="CL24" s="74"/>
      <c r="CM24" s="74"/>
      <c r="CN24" s="74"/>
      <c r="CO24" s="74"/>
    </row>
    <row r="25" spans="1:93" s="1" customFormat="1" ht="15">
      <c r="A25" s="59"/>
      <c r="B25" s="46"/>
      <c r="C25" s="47"/>
      <c r="D25" s="61"/>
      <c r="E25" s="61"/>
      <c r="F25" s="60"/>
      <c r="G25" s="61"/>
      <c r="H25" s="62"/>
      <c r="I25" s="63"/>
      <c r="J25" s="66"/>
      <c r="K25" s="67"/>
      <c r="L25" s="67"/>
      <c r="M25" s="21"/>
      <c r="N25" s="22"/>
      <c r="O25" s="22"/>
      <c r="P25" s="67"/>
      <c r="Q25" s="65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24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8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25"/>
      <c r="CE25" s="65"/>
      <c r="CF25" s="65"/>
      <c r="CG25" s="65"/>
      <c r="CH25" s="65"/>
      <c r="CI25" s="65"/>
      <c r="CJ25" s="65"/>
      <c r="CK25" s="65"/>
      <c r="CL25" s="65"/>
      <c r="CM25" s="65"/>
      <c r="CN25" s="65"/>
      <c r="CO25" s="65"/>
    </row>
    <row r="26" spans="1:93" s="1" customFormat="1" ht="15">
      <c r="A26" s="59"/>
      <c r="B26" s="46"/>
      <c r="C26" s="47"/>
      <c r="D26" s="61"/>
      <c r="E26" s="61"/>
      <c r="F26" s="60"/>
      <c r="G26" s="61"/>
      <c r="H26" s="62"/>
      <c r="I26" s="63"/>
      <c r="J26" s="66"/>
      <c r="K26" s="67"/>
      <c r="L26" s="67"/>
      <c r="M26" s="22"/>
      <c r="N26" s="22"/>
      <c r="O26" s="22"/>
      <c r="P26" s="67"/>
      <c r="Q26" s="65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24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25"/>
      <c r="CE26" s="65"/>
      <c r="CF26" s="65"/>
      <c r="CG26" s="65"/>
      <c r="CH26" s="65"/>
      <c r="CI26" s="65"/>
      <c r="CJ26" s="65"/>
      <c r="CK26" s="65"/>
      <c r="CL26" s="65"/>
      <c r="CM26" s="65"/>
      <c r="CN26" s="65"/>
      <c r="CO26" s="65"/>
    </row>
    <row r="27" spans="1:93" s="1" customFormat="1" ht="15">
      <c r="A27" s="59"/>
      <c r="B27" s="46"/>
      <c r="C27" s="47"/>
      <c r="D27" s="61"/>
      <c r="E27" s="61"/>
      <c r="F27" s="60"/>
      <c r="G27" s="61"/>
      <c r="H27" s="62"/>
      <c r="I27" s="63"/>
      <c r="J27" s="66"/>
      <c r="K27" s="67"/>
      <c r="L27" s="67"/>
      <c r="M27" s="21"/>
      <c r="N27" s="22"/>
      <c r="O27" s="22"/>
      <c r="P27" s="67"/>
      <c r="Q27" s="65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24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25"/>
      <c r="CE27" s="65"/>
      <c r="CF27" s="65"/>
      <c r="CG27" s="65"/>
      <c r="CH27" s="65"/>
      <c r="CI27" s="65"/>
      <c r="CJ27" s="65"/>
      <c r="CK27" s="65"/>
      <c r="CL27" s="65"/>
      <c r="CM27" s="65"/>
      <c r="CN27" s="65"/>
      <c r="CO27" s="65"/>
    </row>
    <row r="28" spans="1:93" s="1" customFormat="1" ht="15">
      <c r="A28" s="59"/>
      <c r="B28" s="46"/>
      <c r="C28" s="47"/>
      <c r="D28" s="61"/>
      <c r="E28" s="61"/>
      <c r="F28" s="60"/>
      <c r="G28" s="61"/>
      <c r="H28" s="62"/>
      <c r="I28" s="63"/>
      <c r="J28" s="66"/>
      <c r="K28" s="67"/>
      <c r="L28" s="67"/>
      <c r="M28" s="22"/>
      <c r="N28" s="22"/>
      <c r="O28" s="22"/>
      <c r="P28" s="67"/>
      <c r="Q28" s="65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24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25"/>
      <c r="CE28" s="65"/>
      <c r="CF28" s="65"/>
      <c r="CG28" s="65"/>
      <c r="CH28" s="65"/>
      <c r="CI28" s="65"/>
      <c r="CJ28" s="65"/>
      <c r="CK28" s="65"/>
      <c r="CL28" s="65"/>
      <c r="CM28" s="65"/>
      <c r="CN28" s="65"/>
      <c r="CO28" s="65"/>
    </row>
    <row r="29" spans="1:93" s="1" customFormat="1" ht="15">
      <c r="A29" s="59"/>
      <c r="B29" s="46"/>
      <c r="C29" s="47"/>
      <c r="D29" s="61"/>
      <c r="E29" s="61"/>
      <c r="F29" s="60"/>
      <c r="G29" s="61"/>
      <c r="H29" s="62"/>
      <c r="I29" s="63"/>
      <c r="J29" s="66"/>
      <c r="K29" s="67"/>
      <c r="L29" s="67"/>
      <c r="M29" s="21"/>
      <c r="N29" s="22"/>
      <c r="O29" s="22"/>
      <c r="P29" s="67"/>
      <c r="Q29" s="65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24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25"/>
      <c r="CE29" s="65"/>
      <c r="CF29" s="65"/>
      <c r="CG29" s="65"/>
      <c r="CH29" s="65"/>
      <c r="CI29" s="65"/>
      <c r="CJ29" s="65"/>
      <c r="CK29" s="65"/>
      <c r="CL29" s="65"/>
      <c r="CM29" s="65"/>
      <c r="CN29" s="65"/>
      <c r="CO29" s="65"/>
    </row>
    <row r="30" spans="1:93" s="1" customFormat="1" ht="15">
      <c r="A30" s="59"/>
      <c r="B30" s="46"/>
      <c r="C30" s="47"/>
      <c r="D30" s="61"/>
      <c r="E30" s="61"/>
      <c r="F30" s="60"/>
      <c r="G30" s="61"/>
      <c r="H30" s="62"/>
      <c r="I30" s="63"/>
      <c r="J30" s="66"/>
      <c r="K30" s="67"/>
      <c r="L30" s="67"/>
      <c r="M30" s="22"/>
      <c r="N30" s="22"/>
      <c r="O30" s="22"/>
      <c r="P30" s="67"/>
      <c r="Q30" s="65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24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25"/>
      <c r="CE30" s="65"/>
      <c r="CF30" s="65"/>
      <c r="CG30" s="65"/>
      <c r="CH30" s="65"/>
      <c r="CI30" s="65"/>
      <c r="CJ30" s="65"/>
      <c r="CK30" s="65"/>
      <c r="CL30" s="65"/>
      <c r="CM30" s="65"/>
      <c r="CN30" s="65"/>
      <c r="CO30" s="65"/>
    </row>
    <row r="31" spans="1:93" s="1" customFormat="1" ht="15">
      <c r="A31" s="59"/>
      <c r="B31" s="46"/>
      <c r="C31" s="47"/>
      <c r="D31" s="61"/>
      <c r="E31" s="61"/>
      <c r="F31" s="60"/>
      <c r="G31" s="61"/>
      <c r="H31" s="62"/>
      <c r="I31" s="63"/>
      <c r="J31" s="66"/>
      <c r="K31" s="67"/>
      <c r="L31" s="67"/>
      <c r="M31" s="21"/>
      <c r="N31" s="22"/>
      <c r="O31" s="22"/>
      <c r="P31" s="67"/>
      <c r="Q31" s="65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24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25"/>
      <c r="CE31" s="65"/>
      <c r="CF31" s="65"/>
      <c r="CG31" s="65"/>
      <c r="CH31" s="65"/>
      <c r="CI31" s="65"/>
      <c r="CJ31" s="65"/>
      <c r="CK31" s="65"/>
      <c r="CL31" s="65"/>
      <c r="CM31" s="65"/>
      <c r="CN31" s="65"/>
      <c r="CO31" s="65"/>
    </row>
    <row r="32" spans="1:93" s="1" customFormat="1" ht="15">
      <c r="A32" s="59"/>
      <c r="B32" s="46"/>
      <c r="C32" s="47"/>
      <c r="D32" s="61"/>
      <c r="E32" s="61"/>
      <c r="F32" s="60"/>
      <c r="G32" s="61"/>
      <c r="H32" s="62"/>
      <c r="I32" s="63"/>
      <c r="J32" s="66"/>
      <c r="K32" s="67"/>
      <c r="L32" s="67"/>
      <c r="M32" s="22"/>
      <c r="N32" s="22"/>
      <c r="O32" s="22"/>
      <c r="P32" s="67"/>
      <c r="Q32" s="65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24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9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25"/>
      <c r="CE32" s="65"/>
      <c r="CF32" s="65"/>
      <c r="CG32" s="65"/>
      <c r="CH32" s="65"/>
      <c r="CI32" s="65"/>
      <c r="CJ32" s="65"/>
      <c r="CK32" s="65"/>
      <c r="CL32" s="65"/>
      <c r="CM32" s="65"/>
      <c r="CN32" s="65"/>
      <c r="CO32" s="65"/>
    </row>
    <row r="33" spans="1:93" s="1" customFormat="1" ht="15">
      <c r="A33" s="61"/>
      <c r="B33" s="46"/>
      <c r="C33" s="47"/>
      <c r="D33" s="61"/>
      <c r="E33" s="61"/>
      <c r="F33" s="60"/>
      <c r="G33" s="61"/>
      <c r="H33" s="62"/>
      <c r="I33" s="63"/>
      <c r="J33" s="66"/>
      <c r="K33" s="67"/>
      <c r="L33" s="67"/>
      <c r="M33" s="22"/>
      <c r="N33" s="22"/>
      <c r="O33" s="22"/>
      <c r="P33" s="67"/>
      <c r="Q33" s="65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24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9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2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</row>
    <row r="34" spans="1:93" ht="15">
      <c r="B34" s="48"/>
      <c r="C34" s="48"/>
      <c r="G34" s="14"/>
      <c r="H34" s="15"/>
    </row>
    <row r="35" spans="1:93" ht="13">
      <c r="G35" s="14"/>
      <c r="H35" s="15"/>
    </row>
    <row r="36" spans="1:93" ht="13">
      <c r="G36" s="14"/>
      <c r="H36" s="15"/>
    </row>
    <row r="37" spans="1:93" ht="13">
      <c r="G37" s="14"/>
      <c r="H37" s="15"/>
    </row>
    <row r="38" spans="1:93" ht="18" hidden="1">
      <c r="A38" s="49" t="s">
        <v>143</v>
      </c>
      <c r="B38" s="16" t="s">
        <v>6</v>
      </c>
      <c r="C38" s="16" t="s">
        <v>144</v>
      </c>
      <c r="D38" s="16" t="s">
        <v>145</v>
      </c>
      <c r="E38" s="16" t="s">
        <v>144</v>
      </c>
      <c r="F38" s="16" t="s">
        <v>146</v>
      </c>
      <c r="G38" s="16" t="s">
        <v>144</v>
      </c>
      <c r="H38" s="16" t="s">
        <v>147</v>
      </c>
      <c r="I38" s="16" t="s">
        <v>144</v>
      </c>
      <c r="J38" s="16" t="s">
        <v>148</v>
      </c>
      <c r="K38" s="16" t="s">
        <v>144</v>
      </c>
      <c r="L38" s="16" t="s">
        <v>94</v>
      </c>
      <c r="M38" s="16" t="s">
        <v>144</v>
      </c>
    </row>
    <row r="39" spans="1:93" ht="13" hidden="1">
      <c r="A39" s="35" t="s">
        <v>149</v>
      </c>
      <c r="B39" s="33">
        <f>COUNTIF(Q5:Q33,"&gt;=40")</f>
        <v>0</v>
      </c>
      <c r="C39" s="36">
        <f>B39/29*100</f>
        <v>0</v>
      </c>
      <c r="D39" s="33">
        <f>COUNTIF(AY17:AY33,"&gt;=40")</f>
        <v>0</v>
      </c>
      <c r="E39" s="36">
        <f>D39/9*100</f>
        <v>0</v>
      </c>
      <c r="F39" s="33">
        <f>COUNTIF(BO5:BO33,"&gt;=40")</f>
        <v>0</v>
      </c>
      <c r="G39" s="57">
        <f>F39/20*100</f>
        <v>0</v>
      </c>
      <c r="H39" s="33" t="e">
        <f>COUNTIF(#REF!,"&gt;39")</f>
        <v>#REF!</v>
      </c>
      <c r="I39" s="57" t="e">
        <f>H39/3*100</f>
        <v>#REF!</v>
      </c>
      <c r="J39" s="33">
        <f>COUNTIF(CC5:CC33,"&gt;39")</f>
        <v>0</v>
      </c>
      <c r="K39" s="57">
        <f>J39/11*100</f>
        <v>0</v>
      </c>
      <c r="L39" s="33">
        <f>COUNTIF(AJ5:AJ33,"&gt;39")</f>
        <v>0</v>
      </c>
      <c r="M39" s="57">
        <f>L39/17*100</f>
        <v>0</v>
      </c>
    </row>
    <row r="40" spans="1:93" ht="12.75" hidden="1" customHeight="1">
      <c r="A40" s="40" t="s">
        <v>150</v>
      </c>
      <c r="B40" s="16">
        <f>29-COUNTIF(Q5:Q33,"&gt;60")</f>
        <v>29</v>
      </c>
      <c r="C40" s="39">
        <f>B40/29*100</f>
        <v>100</v>
      </c>
      <c r="D40" s="16">
        <f>9-COUNTIF(AY17:AY33,"&gt;60")</f>
        <v>9</v>
      </c>
      <c r="E40" s="39">
        <f>D40/9*100</f>
        <v>100</v>
      </c>
      <c r="F40" s="16">
        <f>20-COUNTIF(BO5:BO33,"&gt;60")</f>
        <v>20</v>
      </c>
      <c r="G40" s="39">
        <f>F40/20*100</f>
        <v>100</v>
      </c>
      <c r="H40" s="16" t="e">
        <f>3-COUNTIF(#REF!,"&gt;=65")</f>
        <v>#REF!</v>
      </c>
      <c r="I40" s="37" t="e">
        <f>H40/3*100</f>
        <v>#REF!</v>
      </c>
      <c r="J40" s="33">
        <f>11-COUNTIF(CC5:CC33,"&gt;=65")</f>
        <v>11</v>
      </c>
      <c r="K40" s="39">
        <f>J40/11*100</f>
        <v>100</v>
      </c>
      <c r="L40" s="58">
        <f>17-COUNTIF(AJ5:AJ33,"&gt;=65")</f>
        <v>17</v>
      </c>
      <c r="M40" s="39">
        <f>L40/17*100</f>
        <v>100</v>
      </c>
    </row>
    <row r="41" spans="1:93" ht="12.75" hidden="1" customHeight="1">
      <c r="A41" s="35" t="s">
        <v>151</v>
      </c>
      <c r="B41" s="16">
        <f>29-B39</f>
        <v>29</v>
      </c>
      <c r="C41" s="37">
        <f>100-C39</f>
        <v>100</v>
      </c>
      <c r="D41" s="16">
        <f>9-D39</f>
        <v>9</v>
      </c>
      <c r="E41" s="37">
        <f>100-E39</f>
        <v>100</v>
      </c>
      <c r="F41" s="16">
        <f>20-F39</f>
        <v>20</v>
      </c>
      <c r="G41" s="37">
        <f>100-G39</f>
        <v>100</v>
      </c>
      <c r="H41" s="16" t="e">
        <f>3-H39</f>
        <v>#REF!</v>
      </c>
      <c r="I41" s="37" t="e">
        <f>100-I39</f>
        <v>#REF!</v>
      </c>
      <c r="J41" s="16">
        <f>11-J39</f>
        <v>11</v>
      </c>
      <c r="K41" s="37">
        <f>100-K39</f>
        <v>100</v>
      </c>
      <c r="L41" s="16">
        <f>17-L39</f>
        <v>17</v>
      </c>
      <c r="M41" s="37">
        <f>100-M39</f>
        <v>100</v>
      </c>
    </row>
    <row r="42" spans="1:93" ht="12.75" hidden="1" customHeight="1"/>
    <row r="43" spans="1:93" ht="12.75" hidden="1" customHeight="1">
      <c r="A43" s="49" t="s">
        <v>152</v>
      </c>
      <c r="B43" s="16" t="s">
        <v>6</v>
      </c>
      <c r="C43" s="16" t="s">
        <v>144</v>
      </c>
      <c r="D43" s="16" t="s">
        <v>145</v>
      </c>
      <c r="E43" s="16" t="s">
        <v>144</v>
      </c>
      <c r="F43" s="16" t="s">
        <v>146</v>
      </c>
      <c r="G43" s="16" t="s">
        <v>144</v>
      </c>
      <c r="H43" s="16" t="s">
        <v>147</v>
      </c>
      <c r="I43" s="16" t="s">
        <v>144</v>
      </c>
      <c r="J43" s="16" t="s">
        <v>148</v>
      </c>
      <c r="K43" s="16" t="s">
        <v>144</v>
      </c>
      <c r="L43" s="16" t="s">
        <v>94</v>
      </c>
      <c r="M43" s="16" t="s">
        <v>144</v>
      </c>
    </row>
    <row r="44" spans="1:93" ht="12.75" hidden="1" customHeight="1">
      <c r="A44" s="35" t="s">
        <v>149</v>
      </c>
      <c r="B44" s="33"/>
      <c r="C44" s="36">
        <f>B44/29*100</f>
        <v>0</v>
      </c>
      <c r="D44" s="33">
        <f>COUNTIF(AZ5:AZ33,"&gt;39")</f>
        <v>0</v>
      </c>
      <c r="E44" s="36">
        <f>D44/9*100</f>
        <v>0</v>
      </c>
      <c r="F44" s="33">
        <f>COUNTIF(BP5:BP33,"&gt;39")</f>
        <v>0</v>
      </c>
      <c r="G44" s="57">
        <f>F44/20*100</f>
        <v>0</v>
      </c>
      <c r="H44" s="16">
        <v>0</v>
      </c>
      <c r="I44" s="57">
        <f>H44/3*100</f>
        <v>0</v>
      </c>
      <c r="J44" s="33">
        <f>COUNTIF(CD5:CD33,"&gt;39")</f>
        <v>0</v>
      </c>
      <c r="K44" s="36">
        <f>J44/11*100</f>
        <v>0</v>
      </c>
      <c r="L44" s="33"/>
      <c r="M44" s="36">
        <f>L44/17*100</f>
        <v>0</v>
      </c>
    </row>
    <row r="45" spans="1:93" ht="12.75" hidden="1" customHeight="1">
      <c r="A45" s="40" t="s">
        <v>150</v>
      </c>
      <c r="B45" s="16"/>
      <c r="C45" s="39">
        <f>B45/29*100</f>
        <v>0</v>
      </c>
      <c r="D45" s="16">
        <f>9-COUNTIF(AZ5:AZ33,"&gt;65")</f>
        <v>9</v>
      </c>
      <c r="E45" s="39">
        <f>D45/9*100</f>
        <v>100</v>
      </c>
      <c r="F45" s="16">
        <f>20-COUNTIF(BP5:BP33,"&gt;65")</f>
        <v>20</v>
      </c>
      <c r="G45" s="39">
        <f>F45/20*100</f>
        <v>100</v>
      </c>
      <c r="H45" s="16">
        <v>0</v>
      </c>
      <c r="I45" s="37">
        <f>H45/3*100</f>
        <v>0</v>
      </c>
      <c r="J45" s="33">
        <f>11-COUNTIF(CD5:CD33,"&gt;=65")</f>
        <v>11</v>
      </c>
      <c r="K45" s="39">
        <f>J45/11*100</f>
        <v>100</v>
      </c>
      <c r="L45" s="58"/>
      <c r="M45" s="37">
        <f>L45/17*100</f>
        <v>0</v>
      </c>
    </row>
    <row r="46" spans="1:93" ht="12.75" hidden="1" customHeight="1">
      <c r="A46" s="35" t="s">
        <v>151</v>
      </c>
      <c r="B46" s="16"/>
      <c r="C46" s="37">
        <f>100-C44</f>
        <v>100</v>
      </c>
      <c r="D46" s="16">
        <f>9-D44</f>
        <v>9</v>
      </c>
      <c r="E46" s="37">
        <f>100-E44</f>
        <v>100</v>
      </c>
      <c r="F46" s="16">
        <f>20-F44</f>
        <v>20</v>
      </c>
      <c r="G46" s="37">
        <f>100-G44</f>
        <v>100</v>
      </c>
      <c r="H46" s="16">
        <v>0</v>
      </c>
      <c r="I46" s="37">
        <f>100-I44</f>
        <v>100</v>
      </c>
      <c r="J46" s="16">
        <f>11-J44</f>
        <v>11</v>
      </c>
      <c r="K46" s="37">
        <f>100-K44</f>
        <v>100</v>
      </c>
      <c r="L46" s="16"/>
      <c r="M46" s="37">
        <f>100-M44</f>
        <v>100</v>
      </c>
    </row>
  </sheetData>
  <sheetProtection selectLockedCells="1" selectUnlockedCells="1"/>
  <mergeCells count="32">
    <mergeCell ref="A1:CO1"/>
    <mergeCell ref="A2:I3"/>
    <mergeCell ref="J2:L3"/>
    <mergeCell ref="M2:V2"/>
    <mergeCell ref="W2:AF2"/>
    <mergeCell ref="AG2:AG3"/>
    <mergeCell ref="AH2:AH3"/>
    <mergeCell ref="AI2:AI3"/>
    <mergeCell ref="AJ2:AT2"/>
    <mergeCell ref="AU2:AU3"/>
    <mergeCell ref="BU3:BY3"/>
    <mergeCell ref="CC2:CL2"/>
    <mergeCell ref="CM2:CM3"/>
    <mergeCell ref="CN2:CN3"/>
    <mergeCell ref="CO2:CO3"/>
    <mergeCell ref="CC3:CH3"/>
    <mergeCell ref="CI3:CL3"/>
    <mergeCell ref="BN2:BY2"/>
    <mergeCell ref="BZ2:BZ3"/>
    <mergeCell ref="CA2:CA3"/>
    <mergeCell ref="CB2:CB3"/>
    <mergeCell ref="AJ3:AO3"/>
    <mergeCell ref="AP3:AT3"/>
    <mergeCell ref="AY3:BD3"/>
    <mergeCell ref="BE3:BJ3"/>
    <mergeCell ref="BO3:BT3"/>
    <mergeCell ref="AV2:AV3"/>
    <mergeCell ref="AW2:AW3"/>
    <mergeCell ref="AX2:BJ2"/>
    <mergeCell ref="BK2:BK3"/>
    <mergeCell ref="BL2:BL3"/>
    <mergeCell ref="BM2:BM3"/>
  </mergeCells>
  <phoneticPr fontId="20" type="noConversion"/>
  <conditionalFormatting sqref="M5:U33">
    <cfRule type="containsBlanks" dxfId="26" priority="21">
      <formula>LEN(TRIM(M5))=0</formula>
    </cfRule>
    <cfRule type="cellIs" dxfId="25" priority="22" operator="lessThan">
      <formula>39</formula>
    </cfRule>
    <cfRule type="cellIs" dxfId="24" priority="23" operator="between">
      <formula>40</formula>
      <formula>65</formula>
    </cfRule>
    <cfRule type="cellIs" dxfId="23" priority="24" operator="greaterThan">
      <formula>65</formula>
    </cfRule>
  </conditionalFormatting>
  <conditionalFormatting sqref="AF5:AG16 AF17:AF33 AG18:AG49">
    <cfRule type="containsBlanks" dxfId="22" priority="28">
      <formula>LEN(TRIM(AF5))=0</formula>
    </cfRule>
    <cfRule type="cellIs" dxfId="21" priority="29" operator="lessThan">
      <formula>50</formula>
    </cfRule>
    <cfRule type="cellIs" dxfId="20" priority="30" operator="between">
      <formula>50</formula>
      <formula>74</formula>
    </cfRule>
    <cfRule type="cellIs" dxfId="19" priority="31" operator="greaterThan">
      <formula>75</formula>
    </cfRule>
  </conditionalFormatting>
  <conditionalFormatting sqref="AJ5:AN33">
    <cfRule type="containsBlanks" dxfId="18" priority="8">
      <formula>LEN(TRIM(AJ5))=0</formula>
    </cfRule>
    <cfRule type="cellIs" dxfId="17" priority="9" operator="greaterThan">
      <formula>65</formula>
    </cfRule>
    <cfRule type="cellIs" dxfId="16" priority="10" operator="between">
      <formula>40</formula>
      <formula>65</formula>
    </cfRule>
    <cfRule type="cellIs" dxfId="15" priority="11" operator="lessThan">
      <formula>39</formula>
    </cfRule>
  </conditionalFormatting>
  <conditionalFormatting sqref="AY5:BC33">
    <cfRule type="containsBlanks" dxfId="14" priority="16">
      <formula>LEN(TRIM(AY5))=0</formula>
    </cfRule>
    <cfRule type="cellIs" dxfId="13" priority="18" operator="greaterThan">
      <formula>65</formula>
    </cfRule>
    <cfRule type="cellIs" dxfId="12" priority="19" operator="between">
      <formula>40</formula>
      <formula>65</formula>
    </cfRule>
    <cfRule type="cellIs" dxfId="11" priority="20" operator="lessThan">
      <formula>39</formula>
    </cfRule>
  </conditionalFormatting>
  <conditionalFormatting sqref="BN5:BP33">
    <cfRule type="cellIs" dxfId="10" priority="17" operator="greaterThan">
      <formula>65</formula>
    </cfRule>
  </conditionalFormatting>
  <conditionalFormatting sqref="BO5:BP33">
    <cfRule type="containsBlanks" dxfId="9" priority="5">
      <formula>LEN(TRIM(BO5))=0</formula>
    </cfRule>
    <cfRule type="cellIs" dxfId="8" priority="6" operator="between">
      <formula>40</formula>
      <formula>65</formula>
    </cfRule>
    <cfRule type="cellIs" dxfId="7" priority="7" operator="lessThan">
      <formula>40</formula>
    </cfRule>
  </conditionalFormatting>
  <conditionalFormatting sqref="BP5:BP16 BP18:BP33">
    <cfRule type="cellIs" dxfId="6" priority="27" operator="equal">
      <formula>"NA"</formula>
    </cfRule>
  </conditionalFormatting>
  <conditionalFormatting sqref="BP13 BN13">
    <cfRule type="cellIs" dxfId="5" priority="26" operator="between">
      <formula>40</formula>
      <formula>65</formula>
    </cfRule>
  </conditionalFormatting>
  <conditionalFormatting sqref="BP13">
    <cfRule type="containsBlanks" dxfId="4" priority="25">
      <formula>LEN(TRIM(BP13))=0</formula>
    </cfRule>
  </conditionalFormatting>
  <conditionalFormatting sqref="CC5:CG33">
    <cfRule type="containsBlanks" dxfId="3" priority="12">
      <formula>LEN(TRIM(CC5))=0</formula>
    </cfRule>
    <cfRule type="cellIs" dxfId="2" priority="13" operator="greaterThan">
      <formula>65</formula>
    </cfRule>
    <cfRule type="cellIs" dxfId="1" priority="14" operator="between">
      <formula>40</formula>
      <formula>65</formula>
    </cfRule>
    <cfRule type="cellIs" dxfId="0" priority="15" operator="lessThan">
      <formula>39</formula>
    </cfRule>
  </conditionalFormatting>
  <dataValidations count="2">
    <dataValidation type="list" allowBlank="1" showInputMessage="1" showErrorMessage="1" sqref="G5:G37" xr:uid="{4C0F1864-C3F0-4027-8B74-FF4D1917ACE0}">
      <formula1>"Biz Mgt, Media, Computing"</formula1>
    </dataValidation>
    <dataValidation type="list" allowBlank="1" showInputMessage="1" showErrorMessage="1" sqref="H5:H37" xr:uid="{5BBB81CF-9B35-4044-9F7C-75AA0594D207}">
      <formula1>"Standard, Accelerated"</formula1>
    </dataValidation>
  </dataValidations>
  <pageMargins left="0.7" right="0.7" top="0.75" bottom="0.75" header="0.3" footer="0.3"/>
  <pageSetup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ed511d-7978-4f0a-90b8-fe59c0051a5e" xsi:nil="true"/>
    <lcf76f155ced4ddcb4097134ff3c332f xmlns="8fa0e382-cd4f-4a98-9d3b-3ab8fd4cab0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4E256F96357A4B84D6C3AD787CB263" ma:contentTypeVersion="14" ma:contentTypeDescription="Create a new document." ma:contentTypeScope="" ma:versionID="f6b42b246301132e70b0bc5943fb1a6b">
  <xsd:schema xmlns:xsd="http://www.w3.org/2001/XMLSchema" xmlns:xs="http://www.w3.org/2001/XMLSchema" xmlns:p="http://schemas.microsoft.com/office/2006/metadata/properties" xmlns:ns2="8fa0e382-cd4f-4a98-9d3b-3ab8fd4cab02" xmlns:ns3="ffed511d-7978-4f0a-90b8-fe59c0051a5e" targetNamespace="http://schemas.microsoft.com/office/2006/metadata/properties" ma:root="true" ma:fieldsID="f35ae1d44ec09ba73afefbec5ae2cd89" ns2:_="" ns3:_="">
    <xsd:import namespace="8fa0e382-cd4f-4a98-9d3b-3ab8fd4cab02"/>
    <xsd:import namespace="ffed511d-7978-4f0a-90b8-fe59c0051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a0e382-cd4f-4a98-9d3b-3ab8fd4cab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b48f53-d4b0-49f8-a042-e9071b99b8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d511d-7978-4f0a-90b8-fe59c0051a5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fb348ae-30c5-4a33-bffa-d8d29b44dbac}" ma:internalName="TaxCatchAll" ma:showField="CatchAllData" ma:web="ffed511d-7978-4f0a-90b8-fe59c0051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B532AC-FA13-4AC3-AC13-44C9D3D5448B}">
  <ds:schemaRefs>
    <ds:schemaRef ds:uri="http://schemas.microsoft.com/office/2006/metadata/properties"/>
    <ds:schemaRef ds:uri="http://schemas.microsoft.com/office/infopath/2007/PartnerControls"/>
    <ds:schemaRef ds:uri="ffed511d-7978-4f0a-90b8-fe59c0051a5e"/>
    <ds:schemaRef ds:uri="8fa0e382-cd4f-4a98-9d3b-3ab8fd4cab02"/>
  </ds:schemaRefs>
</ds:datastoreItem>
</file>

<file path=customXml/itemProps2.xml><?xml version="1.0" encoding="utf-8"?>
<ds:datastoreItem xmlns:ds="http://schemas.openxmlformats.org/officeDocument/2006/customXml" ds:itemID="{4DA1FA5A-8518-4980-8382-125CEC62B7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5999CC-7D46-4E85-A069-DAF88E0084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a0e382-cd4f-4a98-9d3b-3ab8fd4cab02"/>
    <ds:schemaRef ds:uri="ffed511d-7978-4f0a-90b8-fe59c0051a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Sep 2025</vt:lpstr>
      <vt:lpstr>Dec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Julius Koh</dc:creator>
  <cp:keywords/>
  <dc:description/>
  <cp:lastModifiedBy>Silvia Lyu</cp:lastModifiedBy>
  <cp:revision/>
  <dcterms:created xsi:type="dcterms:W3CDTF">2025-10-14T05:14:24Z</dcterms:created>
  <dcterms:modified xsi:type="dcterms:W3CDTF">2026-02-24T08:53:16Z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0x0101008A4E256F96357A4B84D6C3AD787CB263</vt:lpwstr>
  </property>
  <property fmtid="{D5CDD505-2E9C-101B-9397-08002B2CF9AE}" pid="3" name="MediaServiceImageTags">
    <vt:lpwstr/>
  </property>
</Properties>
</file>