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lvialyu/Desktop/Bellerbys/"/>
    </mc:Choice>
  </mc:AlternateContent>
  <xr:revisionPtr revIDLastSave="0" documentId="8_{56AC07B9-5AB8-6849-B80A-ECFD376CF5C5}" xr6:coauthVersionLast="47" xr6:coauthVersionMax="47" xr10:uidLastSave="{00000000-0000-0000-0000-000000000000}"/>
  <bookViews>
    <workbookView xWindow="540" yWindow="740" windowWidth="28300" windowHeight="17260" xr2:uid="{B54A7D7C-4923-2D43-81BC-8870644D8F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3" i="1" l="1"/>
  <c r="A204" i="1"/>
  <c r="A205" i="1"/>
  <c r="A207" i="1"/>
  <c r="A209" i="1"/>
  <c r="A212" i="1"/>
  <c r="A213" i="1"/>
  <c r="A214" i="1"/>
  <c r="A215" i="1"/>
  <c r="A216" i="1"/>
  <c r="A217" i="1"/>
  <c r="A218" i="1"/>
  <c r="A219" i="1"/>
  <c r="A220" i="1"/>
  <c r="A221" i="1"/>
  <c r="A222" i="1"/>
  <c r="A18" i="1"/>
  <c r="A19" i="1"/>
  <c r="A23" i="1"/>
  <c r="A24" i="1"/>
  <c r="A26" i="1"/>
  <c r="A27" i="1"/>
  <c r="A33" i="1"/>
  <c r="A34" i="1"/>
  <c r="A37" i="1"/>
  <c r="A38" i="1"/>
  <c r="A39" i="1"/>
  <c r="A40" i="1"/>
  <c r="A43" i="1"/>
  <c r="A44" i="1"/>
  <c r="A48" i="1"/>
  <c r="A49" i="1"/>
  <c r="A59" i="1"/>
  <c r="A60" i="1"/>
  <c r="A64" i="1"/>
  <c r="A65" i="1"/>
  <c r="A71" i="1"/>
  <c r="A72" i="1"/>
  <c r="A73" i="1"/>
  <c r="A74" i="1"/>
  <c r="A83" i="1"/>
  <c r="A84" i="1"/>
  <c r="A89" i="1"/>
  <c r="A90" i="1"/>
  <c r="A91" i="1"/>
  <c r="A95" i="1"/>
  <c r="A96" i="1"/>
  <c r="A99" i="1"/>
  <c r="A100" i="1"/>
  <c r="A104" i="1"/>
  <c r="A105" i="1"/>
  <c r="A106" i="1"/>
  <c r="A107" i="1"/>
  <c r="A111" i="1"/>
  <c r="A112" i="1"/>
  <c r="A115" i="1"/>
  <c r="A116" i="1"/>
  <c r="A117" i="1"/>
  <c r="A118" i="1"/>
  <c r="A120" i="1"/>
  <c r="A121" i="1"/>
  <c r="A122" i="1"/>
  <c r="A123" i="1"/>
  <c r="A124" i="1"/>
  <c r="A125" i="1"/>
  <c r="A127" i="1"/>
  <c r="A128" i="1"/>
  <c r="A133" i="1"/>
  <c r="A134" i="1"/>
  <c r="A135" i="1"/>
  <c r="A136" i="1"/>
  <c r="A139" i="1"/>
  <c r="A140" i="1"/>
  <c r="A141" i="1"/>
  <c r="A142" i="1"/>
  <c r="A143" i="1"/>
  <c r="A148" i="1"/>
  <c r="A149" i="1"/>
  <c r="A150" i="1"/>
  <c r="A154" i="1"/>
  <c r="A155" i="1"/>
  <c r="A156" i="1"/>
  <c r="A157" i="1"/>
  <c r="A171" i="1"/>
  <c r="A172" i="1"/>
  <c r="A174" i="1"/>
  <c r="A175" i="1"/>
  <c r="A176" i="1"/>
  <c r="A178" i="1"/>
  <c r="A179" i="1"/>
  <c r="A185" i="1"/>
  <c r="A186" i="1"/>
  <c r="A188" i="1"/>
  <c r="A189" i="1"/>
  <c r="A192" i="1"/>
  <c r="A193" i="1"/>
  <c r="A195" i="1"/>
  <c r="A196" i="1"/>
  <c r="A198" i="1"/>
  <c r="A199" i="1"/>
  <c r="A200" i="1"/>
  <c r="A201" i="1"/>
</calcChain>
</file>

<file path=xl/sharedStrings.xml><?xml version="1.0" encoding="utf-8"?>
<sst xmlns="http://schemas.openxmlformats.org/spreadsheetml/2006/main" count="670" uniqueCount="485">
  <si>
    <t>排名</t>
  </si>
  <si>
    <t>中文大学名称</t>
  </si>
  <si>
    <t>英文大学名称</t>
  </si>
  <si>
    <t>国家/地区</t>
  </si>
  <si>
    <t>麻省理工学院</t>
  </si>
  <si>
    <t>Massachusetts Institute of Technology (MIT)</t>
  </si>
  <si>
    <t>United States</t>
  </si>
  <si>
    <t>帝国理工学院</t>
  </si>
  <si>
    <t>Imperial College London</t>
  </si>
  <si>
    <t>United Kingdom</t>
  </si>
  <si>
    <t>斯坦福大学</t>
  </si>
  <si>
    <t>Stanford University</t>
  </si>
  <si>
    <t>牛津大学</t>
  </si>
  <si>
    <t>University of Oxford</t>
  </si>
  <si>
    <t>哈佛大学</t>
  </si>
  <si>
    <t>Harvard University</t>
  </si>
  <si>
    <t>剑桥大学</t>
  </si>
  <si>
    <t>University of Cambridge</t>
  </si>
  <si>
    <t>苏黎世联邦理工大学</t>
  </si>
  <si>
    <t>ETH Zurich</t>
  </si>
  <si>
    <t>Switzerland</t>
  </si>
  <si>
    <t>新加坡国立大学</t>
  </si>
  <si>
    <t>National University of Singapore (NUS)</t>
  </si>
  <si>
    <t>Singapore</t>
  </si>
  <si>
    <t>伦敦大学学院</t>
  </si>
  <si>
    <t>UCL</t>
  </si>
  <si>
    <t>加州理工学院</t>
  </si>
  <si>
    <t>California Institute of Technology (Caltech)</t>
  </si>
  <si>
    <t>香港大学</t>
  </si>
  <si>
    <t>University of Hong Kong (HKU)</t>
  </si>
  <si>
    <t>Hong Kong SAR</t>
  </si>
  <si>
    <t>南洋理工大学</t>
  </si>
  <si>
    <t>Nanyang Technological University (NTU)</t>
  </si>
  <si>
    <t>芝加哥大学</t>
  </si>
  <si>
    <t>University of Chicago</t>
  </si>
  <si>
    <t>北京大学</t>
  </si>
  <si>
    <t>Peking University</t>
  </si>
  <si>
    <t>China (Mainland)</t>
  </si>
  <si>
    <t>宾夕法尼亚大学</t>
  </si>
  <si>
    <t>University of Pennsylvania</t>
  </si>
  <si>
    <t>康奈尔大学</t>
  </si>
  <si>
    <t>Cornell University</t>
  </si>
  <si>
    <t>加州大学伯克利分校</t>
  </si>
  <si>
    <t>University of California, Berkeley (UCB)</t>
  </si>
  <si>
    <t>清华大学</t>
  </si>
  <si>
    <t>Tsinghua University</t>
  </si>
  <si>
    <t>墨尔本大学</t>
  </si>
  <si>
    <t>University of Melbourne</t>
  </si>
  <si>
    <t>Australia</t>
  </si>
  <si>
    <t>新南威尔士大学</t>
  </si>
  <si>
    <t>University of New South Wales (UNSW)</t>
  </si>
  <si>
    <t>耶鲁大学</t>
  </si>
  <si>
    <t>Yale University</t>
  </si>
  <si>
    <t>洛桑联邦理工学院</t>
  </si>
  <si>
    <t>EPFL</t>
  </si>
  <si>
    <t>慕尼黑工业大学</t>
  </si>
  <si>
    <t>Technical University of Munich</t>
  </si>
  <si>
    <t>Germany</t>
  </si>
  <si>
    <t>约翰霍普金斯大学</t>
  </si>
  <si>
    <t>Johns Hopkins University</t>
  </si>
  <si>
    <t>普林斯顿大学</t>
  </si>
  <si>
    <t>Princeton University</t>
  </si>
  <si>
    <t>悉尼大学</t>
  </si>
  <si>
    <t>University of Sydney</t>
  </si>
  <si>
    <t>麦吉尔大学</t>
  </si>
  <si>
    <t>McGill University</t>
  </si>
  <si>
    <t>Canada</t>
  </si>
  <si>
    <t>巴黎科学艺术人文大学</t>
  </si>
  <si>
    <t>Université PSL</t>
  </si>
  <si>
    <t>France</t>
  </si>
  <si>
    <t>多伦多大学</t>
  </si>
  <si>
    <t>University of Toronto</t>
  </si>
  <si>
    <t>复旦大学</t>
  </si>
  <si>
    <t>Fudan University</t>
  </si>
  <si>
    <t>伦敦国王学院</t>
  </si>
  <si>
    <t>King's College London</t>
  </si>
  <si>
    <t>澳大利亚国立大学</t>
  </si>
  <si>
    <t>Australian National University (ANU)</t>
  </si>
  <si>
    <t>香港中文大学</t>
  </si>
  <si>
    <t>Chinese University of Hong Kong (CUHK)</t>
  </si>
  <si>
    <t>爱丁堡大学</t>
  </si>
  <si>
    <t>University of Edinburgh</t>
  </si>
  <si>
    <t>曼彻斯特大学</t>
  </si>
  <si>
    <t>University of Manchester</t>
  </si>
  <si>
    <t>东京大学</t>
  </si>
  <si>
    <t>University of Tokyo</t>
  </si>
  <si>
    <t>Japan</t>
  </si>
  <si>
    <t>蒙纳士大学</t>
  </si>
  <si>
    <t>Monash University</t>
  </si>
  <si>
    <t>哥伦比亚大学</t>
  </si>
  <si>
    <t>Columbia University</t>
  </si>
  <si>
    <t>首尔国立大学</t>
  </si>
  <si>
    <t>Seoul National University</t>
  </si>
  <si>
    <t>South Korea</t>
  </si>
  <si>
    <t>不列颠哥伦比亚大学</t>
  </si>
  <si>
    <t>University of British Columbia</t>
  </si>
  <si>
    <t>巴黎理工学院</t>
  </si>
  <si>
    <t>Institut Polytechnique de Paris</t>
  </si>
  <si>
    <t>昆士兰大学</t>
  </si>
  <si>
    <t>University of Queensland (UQ)</t>
  </si>
  <si>
    <t>西北大学</t>
  </si>
  <si>
    <t>Northwestern University</t>
  </si>
  <si>
    <t>香港科技大学</t>
  </si>
  <si>
    <t>Hong Kong University of Science and Technology (HKUST)</t>
  </si>
  <si>
    <t>密歇根大学</t>
  </si>
  <si>
    <t>University of Michigan-Ann Arbor</t>
  </si>
  <si>
    <t>加州大学洛杉矶分校</t>
  </si>
  <si>
    <t>University of California, Los Angeles (UCLA)</t>
  </si>
  <si>
    <t>代尔夫特理工大学</t>
  </si>
  <si>
    <t>Delft University of Technology</t>
  </si>
  <si>
    <t>Netherlands</t>
  </si>
  <si>
    <t>上海交通大学</t>
  </si>
  <si>
    <t>Shanghai Jiao Tong University</t>
  </si>
  <si>
    <t>浙江大学</t>
  </si>
  <si>
    <t>Zhejiang University</t>
  </si>
  <si>
    <t>延世大学</t>
  </si>
  <si>
    <t>Yonsei University</t>
  </si>
  <si>
    <t>布里斯托大学</t>
  </si>
  <si>
    <t>University of Bristol</t>
  </si>
  <si>
    <t>卡内基梅隆大学</t>
  </si>
  <si>
    <t>Carnegie Mellon University</t>
  </si>
  <si>
    <t>阿姆斯特丹大学</t>
  </si>
  <si>
    <t>University of Amsterdam</t>
  </si>
  <si>
    <t>香港理工大学</t>
  </si>
  <si>
    <t>Hong Kong Polytechnic University</t>
  </si>
  <si>
    <t>纽约大学</t>
  </si>
  <si>
    <t>New York University (NYU)</t>
  </si>
  <si>
    <t>伦敦政治经济学院</t>
  </si>
  <si>
    <t>LSE</t>
  </si>
  <si>
    <t>京都大学</t>
  </si>
  <si>
    <t>Kyoto University</t>
  </si>
  <si>
    <t>慕尼黑大学</t>
  </si>
  <si>
    <t>LMU Munich</t>
  </si>
  <si>
    <t>马来亚大学</t>
  </si>
  <si>
    <t>Universiti Malaya (UM)</t>
  </si>
  <si>
    <t>Malaysia</t>
  </si>
  <si>
    <t>鲁汶大学</t>
  </si>
  <si>
    <t>KU Leuven</t>
  </si>
  <si>
    <t>Belgium</t>
  </si>
  <si>
    <t>高丽大学</t>
  </si>
  <si>
    <t>Korea University</t>
  </si>
  <si>
    <t>杜克大学</t>
  </si>
  <si>
    <t>Duke University</t>
  </si>
  <si>
    <t>台湾大学</t>
  </si>
  <si>
    <t>National Taiwan University (NTU)</t>
  </si>
  <si>
    <t>Taiwan</t>
  </si>
  <si>
    <t>香港城市大学</t>
  </si>
  <si>
    <t>City University of Hong Kong</t>
  </si>
  <si>
    <t>奥克兰大学</t>
  </si>
  <si>
    <t>University of Auckland</t>
  </si>
  <si>
    <t>New Zealand</t>
  </si>
  <si>
    <t>加州大学圣地亚哥分校</t>
  </si>
  <si>
    <t>University of California, San Diego (UCSD)</t>
  </si>
  <si>
    <t>法赫德石油矿产大学</t>
  </si>
  <si>
    <t>King Fahd University of Petroleum &amp; Minerals</t>
  </si>
  <si>
    <t>Saudi Arabia</t>
  </si>
  <si>
    <t>德克萨斯大学奥斯汀分校</t>
  </si>
  <si>
    <t>University of Texas at Austin</t>
  </si>
  <si>
    <t>布朗大学</t>
  </si>
  <si>
    <t>Brown University</t>
  </si>
  <si>
    <t>巴黎萨克雷大学</t>
  </si>
  <si>
    <t>Université Paris-Saclay</t>
  </si>
  <si>
    <t>伊利诺伊大学香槟分校</t>
  </si>
  <si>
    <t>UIUC</t>
  </si>
  <si>
    <t>隆德大学</t>
  </si>
  <si>
    <t>Lund University</t>
  </si>
  <si>
    <t>Sweden</t>
  </si>
  <si>
    <t>索邦大学</t>
  </si>
  <si>
    <t>Sorbonne University</t>
  </si>
  <si>
    <t>华威大学</t>
  </si>
  <si>
    <t>University of Warwick</t>
  </si>
  <si>
    <t>都柏林圣三一大学</t>
  </si>
  <si>
    <t>Trinity College Dublin</t>
  </si>
  <si>
    <t>Ireland</t>
  </si>
  <si>
    <t>伯明翰大学</t>
  </si>
  <si>
    <t>University of Birmingham</t>
  </si>
  <si>
    <t>西澳大学</t>
  </si>
  <si>
    <t>University of Western Australia (UWA)</t>
  </si>
  <si>
    <t>皇家理工学院</t>
  </si>
  <si>
    <t>KTH Royal Institute of Technology</t>
  </si>
  <si>
    <t>格拉斯哥大学</t>
  </si>
  <si>
    <t>University of Glasgow</t>
  </si>
  <si>
    <t>海德堡大学</t>
  </si>
  <si>
    <t>Heidelberg University</t>
  </si>
  <si>
    <t>华盛顿大学</t>
  </si>
  <si>
    <t>University of Washington</t>
  </si>
  <si>
    <t>宾夕法尼亚州立大学</t>
  </si>
  <si>
    <t>Pennsylvania State University</t>
  </si>
  <si>
    <t>阿德莱德大学</t>
  </si>
  <si>
    <t>Adelaide University</t>
  </si>
  <si>
    <t>布宜诺斯艾利斯大学</t>
  </si>
  <si>
    <t>Universidad de Buenos Aires (UBA)</t>
  </si>
  <si>
    <t>Argentina</t>
  </si>
  <si>
    <t>东京工业大学</t>
  </si>
  <si>
    <t>Tokyo Institute of Technology</t>
  </si>
  <si>
    <t>利兹大学</t>
  </si>
  <si>
    <t>University of Leeds</t>
  </si>
  <si>
    <t>南安普敦大学</t>
  </si>
  <si>
    <t>University of Southampton</t>
  </si>
  <si>
    <t>柏林自由大学</t>
  </si>
  <si>
    <t>Free University of Berlin</t>
  </si>
  <si>
    <t>波士顿大学</t>
  </si>
  <si>
    <t>Boston University</t>
  </si>
  <si>
    <t>普渡大学</t>
  </si>
  <si>
    <t>Purdue University</t>
  </si>
  <si>
    <t>大阪大学</t>
  </si>
  <si>
    <t>Osaka University</t>
  </si>
  <si>
    <t>谢菲尔德大学</t>
  </si>
  <si>
    <t>University of Sheffield</t>
  </si>
  <si>
    <t>乌普萨拉大学</t>
  </si>
  <si>
    <t>Uppsala University</t>
  </si>
  <si>
    <t>阿尔伯塔大学</t>
  </si>
  <si>
    <t>University of Alberta</t>
  </si>
  <si>
    <t>杜伦大学</t>
  </si>
  <si>
    <t>Durham University</t>
  </si>
  <si>
    <t>悉尼科技大学</t>
  </si>
  <si>
    <t>University of Technology Sydney (UTS)</t>
  </si>
  <si>
    <t>诺丁汉大学</t>
  </si>
  <si>
    <t>University of Nottingham</t>
  </si>
  <si>
    <t>卡尔斯鲁厄理工学院</t>
  </si>
  <si>
    <t>Karlsruhe Institute of Technology (KIT)</t>
  </si>
  <si>
    <t>米兰理工大学</t>
  </si>
  <si>
    <t>Politecnico di Milano</t>
  </si>
  <si>
    <t>Italy</t>
  </si>
  <si>
    <t>苏黎世大学</t>
  </si>
  <si>
    <t>University of Zurich</t>
  </si>
  <si>
    <t>哥本哈根大学</t>
  </si>
  <si>
    <t>University of Copenhagen</t>
  </si>
  <si>
    <t>Denmark</t>
  </si>
  <si>
    <t>浦项科技大学</t>
  </si>
  <si>
    <t>POSTECH</t>
  </si>
  <si>
    <t>南京大学</t>
  </si>
  <si>
    <t>Nanjing University</t>
  </si>
  <si>
    <t>乌得勒支大学</t>
  </si>
  <si>
    <t>Utrecht University</t>
  </si>
  <si>
    <t>莫斯科国立大学</t>
  </si>
  <si>
    <t>Lomonosov Moscow State University</t>
  </si>
  <si>
    <t>Russia</t>
  </si>
  <si>
    <t>亚琛工业大学</t>
  </si>
  <si>
    <t>RWTH Aachen University</t>
  </si>
  <si>
    <t>丹麦技术大学</t>
  </si>
  <si>
    <t>Technical University of Denmark</t>
  </si>
  <si>
    <t>圣保罗大学</t>
  </si>
  <si>
    <t>University of São Paulo</t>
  </si>
  <si>
    <t>Brazil</t>
  </si>
  <si>
    <t>东北大学</t>
  </si>
  <si>
    <t>Tohoku University</t>
  </si>
  <si>
    <t>伦敦大学玛丽女王学院</t>
  </si>
  <si>
    <t>Queen Mary University of London</t>
  </si>
  <si>
    <t>威斯康星大学麦迪逊分校</t>
  </si>
  <si>
    <t>University of Wisconsin-Madison</t>
  </si>
  <si>
    <t>卡塔尔大学</t>
  </si>
  <si>
    <t>Qatar University</t>
  </si>
  <si>
    <t>Qatar</t>
  </si>
  <si>
    <t>圣安德鲁斯大学</t>
  </si>
  <si>
    <t>University of St Andrews</t>
  </si>
  <si>
    <t>阿尔托大学</t>
  </si>
  <si>
    <t>Aalto University</t>
  </si>
  <si>
    <t>Finland</t>
  </si>
  <si>
    <t>加州大学戴维斯分校</t>
  </si>
  <si>
    <t>University of California, Davis</t>
  </si>
  <si>
    <t>赫尔辛基大学</t>
  </si>
  <si>
    <t>University of Helsinki</t>
  </si>
  <si>
    <t>智利天主教大学</t>
  </si>
  <si>
    <t>Pontificia Universidad Católica de Chile</t>
  </si>
  <si>
    <t>Chile</t>
  </si>
  <si>
    <t>都柏林大学</t>
  </si>
  <si>
    <t>University College Dublin (UCD)</t>
  </si>
  <si>
    <t>奥斯陆大学</t>
  </si>
  <si>
    <t>University of Oslo</t>
  </si>
  <si>
    <t>Norway</t>
  </si>
  <si>
    <t>滑铁卢大学</t>
  </si>
  <si>
    <t>University of Waterloo</t>
  </si>
  <si>
    <t>莱顿大学</t>
  </si>
  <si>
    <t>Leiden University</t>
  </si>
  <si>
    <t>赖斯大学</t>
  </si>
  <si>
    <t>Rice University</t>
  </si>
  <si>
    <t>佐治亚理工学院</t>
  </si>
  <si>
    <t>Georgia Institute of Technology</t>
  </si>
  <si>
    <t>印度理工学院德里分校</t>
  </si>
  <si>
    <t>IIT Delhi</t>
  </si>
  <si>
    <t>India</t>
  </si>
  <si>
    <t>皇家墨尔本理工大学</t>
  </si>
  <si>
    <t>RMIT University</t>
  </si>
  <si>
    <t>成均馆大学</t>
  </si>
  <si>
    <t>Sungkyunkwan University (SKKU)</t>
  </si>
  <si>
    <t>马来西亚国立大学</t>
  </si>
  <si>
    <t>Universiti Kebangsaan Malaysia (UKM)</t>
  </si>
  <si>
    <t>罗马第一大学</t>
  </si>
  <si>
    <t>Sapienza University of Rome</t>
  </si>
  <si>
    <t>印度理工学院孟买分校</t>
  </si>
  <si>
    <t>IIT Bombay</t>
  </si>
  <si>
    <t>柏林洪堡大学</t>
  </si>
  <si>
    <t>Humboldt University of Berlin</t>
  </si>
  <si>
    <t>奥胡斯大学</t>
  </si>
  <si>
    <t>Aarhus University</t>
  </si>
  <si>
    <t>巴斯大学</t>
  </si>
  <si>
    <t>University of Bath</t>
  </si>
  <si>
    <t>中国科学技术大学</t>
  </si>
  <si>
    <t>University of Science and Technology of China</t>
  </si>
  <si>
    <t>马来西亚博特拉大学</t>
  </si>
  <si>
    <t>Universiti Putra Malaysia (UPM)</t>
  </si>
  <si>
    <t>马来西亚理科大学</t>
  </si>
  <si>
    <t>Universiti Sains Malaysia (USM)</t>
  </si>
  <si>
    <t>墨西哥国立自治大学</t>
  </si>
  <si>
    <t>UNAM</t>
  </si>
  <si>
    <t>Mexico</t>
  </si>
  <si>
    <t>纽卡斯尔大学</t>
  </si>
  <si>
    <t>Newcastle University</t>
  </si>
  <si>
    <t>博洛尼亚大学</t>
  </si>
  <si>
    <t>University of Bologna</t>
  </si>
  <si>
    <t>麦考瑞大学</t>
  </si>
  <si>
    <t>Macquarie University</t>
  </si>
  <si>
    <t>埃因霍温理工大学</t>
  </si>
  <si>
    <t>Eindhoven University of Technology</t>
  </si>
  <si>
    <t>北卡罗来纳大学教堂山分校</t>
  </si>
  <si>
    <t>UNC-Chapel Hill</t>
  </si>
  <si>
    <t>鹿特丹伊拉斯谟大学</t>
  </si>
  <si>
    <t>Erasmus University Rotterdam</t>
  </si>
  <si>
    <t>沙特国王大学</t>
  </si>
  <si>
    <t>King Saud University</t>
  </si>
  <si>
    <t>德州农工大学</t>
  </si>
  <si>
    <t>Texas A&amp;M University</t>
  </si>
  <si>
    <t>柏林工业大学</t>
  </si>
  <si>
    <t>Technical University of Berlin</t>
  </si>
  <si>
    <t>南加州大学</t>
  </si>
  <si>
    <t>University of Southern California</t>
  </si>
  <si>
    <t>格罗宁根大学</t>
  </si>
  <si>
    <t>University of Groningen</t>
  </si>
  <si>
    <t>利物浦大学</t>
  </si>
  <si>
    <t>University of Liverpool</t>
  </si>
  <si>
    <t>斯德哥尔摩大学</t>
  </si>
  <si>
    <t>Stockholm University</t>
  </si>
  <si>
    <t>开普敦大学</t>
  </si>
  <si>
    <t>University of Cape Town</t>
  </si>
  <si>
    <t>South Africa</t>
  </si>
  <si>
    <t>韦仕敦大学</t>
  </si>
  <si>
    <t>Western University</t>
  </si>
  <si>
    <t>维也纳大学</t>
  </si>
  <si>
    <t>University of Vienna</t>
  </si>
  <si>
    <t>Austria</t>
  </si>
  <si>
    <t>马来西亚工艺大学</t>
  </si>
  <si>
    <t>Universiti Teknologi Malaysia (UTM)</t>
  </si>
  <si>
    <t>瓦赫宁根大学</t>
  </si>
  <si>
    <t>Wageningen University &amp; Research</t>
  </si>
  <si>
    <t>埃克塞特大学</t>
  </si>
  <si>
    <t>University of Exeter</t>
  </si>
  <si>
    <t>日内瓦大学</t>
  </si>
  <si>
    <t>University of Geneva</t>
  </si>
  <si>
    <t>兰卡斯特大学</t>
  </si>
  <si>
    <t>Lancaster University</t>
  </si>
  <si>
    <t>巴塞尔大学</t>
  </si>
  <si>
    <t>University of Basel</t>
  </si>
  <si>
    <t>汉阳大学</t>
  </si>
  <si>
    <t>Hanyang University</t>
  </si>
  <si>
    <t>巴塞罗那大学</t>
  </si>
  <si>
    <t>University of Barcelona</t>
  </si>
  <si>
    <t>Spain</t>
  </si>
  <si>
    <t>密歇根州立大学</t>
  </si>
  <si>
    <t>Michigan State University</t>
  </si>
  <si>
    <t>根特大学</t>
  </si>
  <si>
    <t>Ghent University</t>
  </si>
  <si>
    <t>阿卜杜勒·阿齐兹国王大学</t>
  </si>
  <si>
    <t>King Abdulaziz University (KAU)</t>
  </si>
  <si>
    <t>名古屋大学</t>
  </si>
  <si>
    <t>Nagoya University</t>
  </si>
  <si>
    <t>查尔姆斯理工大学</t>
  </si>
  <si>
    <t>Chalmers University of Technology</t>
  </si>
  <si>
    <t>哈萨克国立大学</t>
  </si>
  <si>
    <t>Al-Farabi Kazakh National University</t>
  </si>
  <si>
    <t>Kazakhstan</t>
  </si>
  <si>
    <t>圣路易斯华盛顿大学</t>
  </si>
  <si>
    <t>Washington University in St. Louis</t>
  </si>
  <si>
    <t>蒙特利尔大学</t>
  </si>
  <si>
    <t>Université de Montréal</t>
  </si>
  <si>
    <t>约克大学</t>
  </si>
  <si>
    <t>University of York</t>
  </si>
  <si>
    <t>北海道大学</t>
  </si>
  <si>
    <t>Hokkaido University</t>
  </si>
  <si>
    <t>九州大学</t>
  </si>
  <si>
    <t>Kyushu University</t>
  </si>
  <si>
    <t>巴塞罗那自治大学</t>
  </si>
  <si>
    <t>Universitat Autònoma de Barcelona</t>
  </si>
  <si>
    <t>麦克马斯特大学</t>
  </si>
  <si>
    <t>McMaster University</t>
  </si>
  <si>
    <t>亚利桑那州立大学</t>
  </si>
  <si>
    <t>Arizona State University</t>
  </si>
  <si>
    <t>智利大学</t>
  </si>
  <si>
    <t>University of Chile</t>
  </si>
  <si>
    <t>国立清华大学</t>
  </si>
  <si>
    <t>National Tsing Hua University</t>
  </si>
  <si>
    <t>哈利法大学</t>
  </si>
  <si>
    <t>Khalifa University</t>
  </si>
  <si>
    <t>UAE</t>
  </si>
  <si>
    <t>同济大学</t>
  </si>
  <si>
    <t>Tongji University</t>
  </si>
  <si>
    <t>加州大学圣芭芭拉分校</t>
  </si>
  <si>
    <t>UC Santa Barbara</t>
  </si>
  <si>
    <t>印度理工学院马德拉斯分校</t>
  </si>
  <si>
    <t>IIT Madras</t>
  </si>
  <si>
    <t>卡迪夫大学</t>
  </si>
  <si>
    <t>Cardiff University</t>
  </si>
  <si>
    <t>埃默里大学</t>
  </si>
  <si>
    <t>Emory University</t>
  </si>
  <si>
    <t>科廷大学</t>
  </si>
  <si>
    <t>Curtin University</t>
  </si>
  <si>
    <t>伯尔尼大学</t>
  </si>
  <si>
    <t>University of Bern</t>
  </si>
  <si>
    <t>伍伦贡大学</t>
  </si>
  <si>
    <t>University of Wollongong</t>
  </si>
  <si>
    <t>武汉大学</t>
  </si>
  <si>
    <t>Wuhan University</t>
  </si>
  <si>
    <t>马德里康普顿斯大学</t>
  </si>
  <si>
    <t>Complutense University of Madrid</t>
  </si>
  <si>
    <t>蒙特雷科技大学</t>
  </si>
  <si>
    <t>Tecnológico de Monterrey</t>
  </si>
  <si>
    <t>印度尼西亚大学</t>
  </si>
  <si>
    <t>University of Indonesia</t>
  </si>
  <si>
    <t>Indonesia</t>
  </si>
  <si>
    <t>俄亥俄州立大学</t>
  </si>
  <si>
    <t>Ohio State University</t>
  </si>
  <si>
    <t>鲁汶天主教大学</t>
  </si>
  <si>
    <t>UCLouvain</t>
  </si>
  <si>
    <t>女王大学</t>
  </si>
  <si>
    <t>Queen's University at Kingston</t>
  </si>
  <si>
    <t>汉堡大学</t>
  </si>
  <si>
    <t>University of Hamburg</t>
  </si>
  <si>
    <t>阿姆斯特丹自由大学</t>
  </si>
  <si>
    <t>Vrije Universiteit Amsterdam</t>
  </si>
  <si>
    <t>雷丁大学</t>
  </si>
  <si>
    <t>University of Reading</t>
  </si>
  <si>
    <t>早稻田大学</t>
  </si>
  <si>
    <t>Waseda University</t>
  </si>
  <si>
    <t>奥塔哥大学</t>
  </si>
  <si>
    <t>University of Otago</t>
  </si>
  <si>
    <t>维也纳技术大学</t>
  </si>
  <si>
    <t>TU Wien</t>
  </si>
  <si>
    <t>贝尔法斯特女王大学</t>
  </si>
  <si>
    <t>Queen's University Belfast</t>
  </si>
  <si>
    <t>国立阳明交通大学</t>
  </si>
  <si>
    <t>National Yang Ming Chiao Tung University</t>
  </si>
  <si>
    <t>拉夫堡大学</t>
  </si>
  <si>
    <t>Loughborough University</t>
  </si>
  <si>
    <t>思克莱德大学</t>
  </si>
  <si>
    <t>University of Strathclyde</t>
  </si>
  <si>
    <t>阿伯丁大学</t>
  </si>
  <si>
    <t>University of Aberdeen</t>
  </si>
  <si>
    <t>萨里大学</t>
  </si>
  <si>
    <t>University of Surrey</t>
  </si>
  <si>
    <t>苏塞克斯大学</t>
  </si>
  <si>
    <t>University of Sussex</t>
  </si>
  <si>
    <t>赫里瓦特大学</t>
  </si>
  <si>
    <t>Heriot-Watt University</t>
  </si>
  <si>
    <t>斯旺西大学</t>
  </si>
  <si>
    <t>Swansea University</t>
  </si>
  <si>
    <t>伦敦大学城市圣乔治学院</t>
  </si>
  <si>
    <t>City St George's, University of London</t>
  </si>
  <si>
    <t>莱斯特大学</t>
  </si>
  <si>
    <t>University of Leicester</t>
  </si>
  <si>
    <t>牛津布鲁克斯大学</t>
  </si>
  <si>
    <t>Oxford Brookes University</t>
  </si>
  <si>
    <t>东安格利亚大学</t>
  </si>
  <si>
    <t>University of East Anglia (UEA)</t>
  </si>
  <si>
    <t>布鲁内尔大学</t>
  </si>
  <si>
    <t>Brunel University London</t>
  </si>
  <si>
    <t>伦敦大学伯克贝克学院</t>
  </si>
  <si>
    <t>Birkbeck, University of London</t>
  </si>
  <si>
    <t>阿斯顿大学</t>
  </si>
  <si>
    <t>Aston University</t>
  </si>
  <si>
    <t>肯特大学</t>
  </si>
  <si>
    <t>University of Kent</t>
  </si>
  <si>
    <t>邓迪大学</t>
  </si>
  <si>
    <t>University of Dundee</t>
  </si>
  <si>
    <t>埃克塞斯大学</t>
  </si>
  <si>
    <t>University of Essex</t>
  </si>
  <si>
    <t>伦敦皇家霍洛威大学</t>
  </si>
  <si>
    <t>Royal Holloway, University of London</t>
  </si>
  <si>
    <t>布拉德福德大学</t>
  </si>
  <si>
    <t>University of Bradford</t>
  </si>
  <si>
    <t>SOAS伦敦大学东方与非洲研究学院</t>
  </si>
  <si>
    <t>SOAS University of London</t>
  </si>
  <si>
    <t>斯特灵大学</t>
  </si>
  <si>
    <t>University of Stirling</t>
  </si>
  <si>
    <t>哈德斯菲尔德大学</t>
  </si>
  <si>
    <t>University of Huddersfield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</si>
</sst>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BAB13-52EE-A040-86E5-0873766A57F5}">
  <dimension ref="A1:D223"/>
  <sheetViews>
    <sheetView tabSelected="1" topLeftCell="A88" zoomScale="175" workbookViewId="0">
      <selection activeCell="B167" sqref="B167"/>
    </sheetView>
  </sheetViews>
  <sheetFormatPr baseColWidth="10" defaultRowHeight="16"/>
  <cols>
    <col min="2" max="2" width="29.83203125" customWidth="1"/>
    <col min="3" max="3" width="43.5" customWidth="1"/>
    <col min="4" max="5" width="29.832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6</v>
      </c>
    </row>
    <row r="5" spans="1:4">
      <c r="A5">
        <v>4</v>
      </c>
      <c r="B5" t="s">
        <v>12</v>
      </c>
      <c r="C5" t="s">
        <v>13</v>
      </c>
      <c r="D5" t="s">
        <v>9</v>
      </c>
    </row>
    <row r="6" spans="1:4">
      <c r="A6">
        <v>5</v>
      </c>
      <c r="B6" t="s">
        <v>14</v>
      </c>
      <c r="C6" t="s">
        <v>15</v>
      </c>
      <c r="D6" t="s">
        <v>6</v>
      </c>
    </row>
    <row r="7" spans="1:4">
      <c r="A7">
        <v>6</v>
      </c>
      <c r="B7" t="s">
        <v>16</v>
      </c>
      <c r="C7" t="s">
        <v>17</v>
      </c>
      <c r="D7" t="s">
        <v>9</v>
      </c>
    </row>
    <row r="8" spans="1:4">
      <c r="A8">
        <v>7</v>
      </c>
      <c r="B8" t="s">
        <v>18</v>
      </c>
      <c r="C8" t="s">
        <v>19</v>
      </c>
      <c r="D8" t="s">
        <v>20</v>
      </c>
    </row>
    <row r="9" spans="1:4">
      <c r="A9">
        <v>8</v>
      </c>
      <c r="B9" t="s">
        <v>21</v>
      </c>
      <c r="C9" t="s">
        <v>22</v>
      </c>
      <c r="D9" t="s">
        <v>23</v>
      </c>
    </row>
    <row r="10" spans="1:4">
      <c r="A10">
        <v>9</v>
      </c>
      <c r="B10" t="s">
        <v>24</v>
      </c>
      <c r="C10" t="s">
        <v>25</v>
      </c>
      <c r="D10" t="s">
        <v>9</v>
      </c>
    </row>
    <row r="11" spans="1:4">
      <c r="A11">
        <v>10</v>
      </c>
      <c r="B11" t="s">
        <v>26</v>
      </c>
      <c r="C11" t="s">
        <v>27</v>
      </c>
      <c r="D11" t="s">
        <v>6</v>
      </c>
    </row>
    <row r="12" spans="1:4">
      <c r="A12">
        <v>11</v>
      </c>
      <c r="B12" t="s">
        <v>28</v>
      </c>
      <c r="C12" t="s">
        <v>29</v>
      </c>
      <c r="D12" t="s">
        <v>30</v>
      </c>
    </row>
    <row r="13" spans="1:4">
      <c r="A13">
        <v>12</v>
      </c>
      <c r="B13" t="s">
        <v>31</v>
      </c>
      <c r="C13" t="s">
        <v>32</v>
      </c>
      <c r="D13" t="s">
        <v>23</v>
      </c>
    </row>
    <row r="14" spans="1:4">
      <c r="A14">
        <v>13</v>
      </c>
      <c r="B14" t="s">
        <v>33</v>
      </c>
      <c r="C14" t="s">
        <v>34</v>
      </c>
      <c r="D14" t="s">
        <v>6</v>
      </c>
    </row>
    <row r="15" spans="1:4">
      <c r="A15">
        <v>14</v>
      </c>
      <c r="B15" t="s">
        <v>35</v>
      </c>
      <c r="C15" t="s">
        <v>36</v>
      </c>
      <c r="D15" t="s">
        <v>37</v>
      </c>
    </row>
    <row r="16" spans="1:4">
      <c r="A16">
        <v>15</v>
      </c>
      <c r="B16" t="s">
        <v>38</v>
      </c>
      <c r="C16" t="s">
        <v>39</v>
      </c>
      <c r="D16" t="s">
        <v>6</v>
      </c>
    </row>
    <row r="17" spans="1:4">
      <c r="A17">
        <v>16</v>
      </c>
      <c r="B17" t="s">
        <v>40</v>
      </c>
      <c r="C17" t="s">
        <v>41</v>
      </c>
      <c r="D17" t="s">
        <v>6</v>
      </c>
    </row>
    <row r="18" spans="1:4">
      <c r="A18">
        <f>17</f>
        <v>17</v>
      </c>
      <c r="B18" t="s">
        <v>42</v>
      </c>
      <c r="C18" t="s">
        <v>43</v>
      </c>
      <c r="D18" t="s">
        <v>6</v>
      </c>
    </row>
    <row r="19" spans="1:4">
      <c r="A19">
        <f>17</f>
        <v>17</v>
      </c>
      <c r="B19" t="s">
        <v>44</v>
      </c>
      <c r="C19" t="s">
        <v>45</v>
      </c>
      <c r="D19" t="s">
        <v>37</v>
      </c>
    </row>
    <row r="20" spans="1:4">
      <c r="A20">
        <v>19</v>
      </c>
      <c r="B20" t="s">
        <v>46</v>
      </c>
      <c r="C20" t="s">
        <v>47</v>
      </c>
      <c r="D20" t="s">
        <v>48</v>
      </c>
    </row>
    <row r="21" spans="1:4">
      <c r="A21">
        <v>20</v>
      </c>
      <c r="B21" t="s">
        <v>49</v>
      </c>
      <c r="C21" t="s">
        <v>50</v>
      </c>
      <c r="D21" t="s">
        <v>48</v>
      </c>
    </row>
    <row r="22" spans="1:4">
      <c r="A22">
        <v>21</v>
      </c>
      <c r="B22" t="s">
        <v>51</v>
      </c>
      <c r="C22" t="s">
        <v>52</v>
      </c>
      <c r="D22" t="s">
        <v>6</v>
      </c>
    </row>
    <row r="23" spans="1:4">
      <c r="A23">
        <f>22</f>
        <v>22</v>
      </c>
      <c r="B23" t="s">
        <v>53</v>
      </c>
      <c r="C23" t="s">
        <v>54</v>
      </c>
      <c r="D23" t="s">
        <v>20</v>
      </c>
    </row>
    <row r="24" spans="1:4">
      <c r="A24">
        <f>22</f>
        <v>22</v>
      </c>
      <c r="B24" t="s">
        <v>55</v>
      </c>
      <c r="C24" t="s">
        <v>56</v>
      </c>
      <c r="D24" t="s">
        <v>57</v>
      </c>
    </row>
    <row r="25" spans="1:4">
      <c r="A25">
        <v>24</v>
      </c>
      <c r="B25" t="s">
        <v>58</v>
      </c>
      <c r="C25" t="s">
        <v>59</v>
      </c>
      <c r="D25" t="s">
        <v>6</v>
      </c>
    </row>
    <row r="26" spans="1:4">
      <c r="A26">
        <f>25</f>
        <v>25</v>
      </c>
      <c r="B26" t="s">
        <v>60</v>
      </c>
      <c r="C26" t="s">
        <v>61</v>
      </c>
      <c r="D26" t="s">
        <v>6</v>
      </c>
    </row>
    <row r="27" spans="1:4">
      <c r="A27">
        <f>25</f>
        <v>25</v>
      </c>
      <c r="B27" t="s">
        <v>62</v>
      </c>
      <c r="C27" t="s">
        <v>63</v>
      </c>
      <c r="D27" t="s">
        <v>48</v>
      </c>
    </row>
    <row r="28" spans="1:4">
      <c r="A28">
        <v>27</v>
      </c>
      <c r="B28" t="s">
        <v>64</v>
      </c>
      <c r="C28" t="s">
        <v>65</v>
      </c>
      <c r="D28" t="s">
        <v>66</v>
      </c>
    </row>
    <row r="29" spans="1:4">
      <c r="A29">
        <v>28</v>
      </c>
      <c r="B29" t="s">
        <v>67</v>
      </c>
      <c r="C29" t="s">
        <v>68</v>
      </c>
      <c r="D29" t="s">
        <v>69</v>
      </c>
    </row>
    <row r="30" spans="1:4">
      <c r="A30">
        <v>29</v>
      </c>
      <c r="B30" t="s">
        <v>70</v>
      </c>
      <c r="C30" t="s">
        <v>71</v>
      </c>
      <c r="D30" t="s">
        <v>66</v>
      </c>
    </row>
    <row r="31" spans="1:4">
      <c r="A31">
        <v>30</v>
      </c>
      <c r="B31" t="s">
        <v>72</v>
      </c>
      <c r="C31" t="s">
        <v>73</v>
      </c>
      <c r="D31" t="s">
        <v>37</v>
      </c>
    </row>
    <row r="32" spans="1:4">
      <c r="A32">
        <v>31</v>
      </c>
      <c r="B32" t="s">
        <v>74</v>
      </c>
      <c r="C32" t="s">
        <v>75</v>
      </c>
      <c r="D32" t="s">
        <v>9</v>
      </c>
    </row>
    <row r="33" spans="1:4">
      <c r="A33">
        <f>32</f>
        <v>32</v>
      </c>
      <c r="B33" t="s">
        <v>76</v>
      </c>
      <c r="C33" t="s">
        <v>77</v>
      </c>
      <c r="D33" t="s">
        <v>48</v>
      </c>
    </row>
    <row r="34" spans="1:4">
      <c r="A34">
        <f>32</f>
        <v>32</v>
      </c>
      <c r="B34" t="s">
        <v>78</v>
      </c>
      <c r="C34" t="s">
        <v>79</v>
      </c>
      <c r="D34" t="s">
        <v>30</v>
      </c>
    </row>
    <row r="35" spans="1:4">
      <c r="A35">
        <v>34</v>
      </c>
      <c r="B35" t="s">
        <v>80</v>
      </c>
      <c r="C35" t="s">
        <v>81</v>
      </c>
      <c r="D35" t="s">
        <v>9</v>
      </c>
    </row>
    <row r="36" spans="1:4">
      <c r="A36">
        <v>35</v>
      </c>
      <c r="B36" t="s">
        <v>82</v>
      </c>
      <c r="C36" t="s">
        <v>83</v>
      </c>
      <c r="D36" t="s">
        <v>9</v>
      </c>
    </row>
    <row r="37" spans="1:4">
      <c r="A37">
        <f>36</f>
        <v>36</v>
      </c>
      <c r="B37" t="s">
        <v>84</v>
      </c>
      <c r="C37" t="s">
        <v>85</v>
      </c>
      <c r="D37" t="s">
        <v>86</v>
      </c>
    </row>
    <row r="38" spans="1:4">
      <c r="A38">
        <f>36</f>
        <v>36</v>
      </c>
      <c r="B38" t="s">
        <v>87</v>
      </c>
      <c r="C38" t="s">
        <v>88</v>
      </c>
      <c r="D38" t="s">
        <v>48</v>
      </c>
    </row>
    <row r="39" spans="1:4">
      <c r="A39">
        <f>38</f>
        <v>38</v>
      </c>
      <c r="B39" t="s">
        <v>89</v>
      </c>
      <c r="C39" t="s">
        <v>90</v>
      </c>
      <c r="D39" t="s">
        <v>6</v>
      </c>
    </row>
    <row r="40" spans="1:4">
      <c r="A40">
        <f>38</f>
        <v>38</v>
      </c>
      <c r="B40" t="s">
        <v>91</v>
      </c>
      <c r="C40" t="s">
        <v>92</v>
      </c>
      <c r="D40" t="s">
        <v>93</v>
      </c>
    </row>
    <row r="41" spans="1:4">
      <c r="A41">
        <v>40</v>
      </c>
      <c r="B41" t="s">
        <v>94</v>
      </c>
      <c r="C41" t="s">
        <v>95</v>
      </c>
      <c r="D41" t="s">
        <v>66</v>
      </c>
    </row>
    <row r="42" spans="1:4">
      <c r="A42">
        <v>41</v>
      </c>
      <c r="B42" t="s">
        <v>96</v>
      </c>
      <c r="C42" t="s">
        <v>97</v>
      </c>
      <c r="D42" t="s">
        <v>69</v>
      </c>
    </row>
    <row r="43" spans="1:4">
      <c r="A43">
        <f>42</f>
        <v>42</v>
      </c>
      <c r="B43" t="s">
        <v>98</v>
      </c>
      <c r="C43" t="s">
        <v>99</v>
      </c>
      <c r="D43" t="s">
        <v>48</v>
      </c>
    </row>
    <row r="44" spans="1:4">
      <c r="A44">
        <f>42</f>
        <v>42</v>
      </c>
      <c r="B44" t="s">
        <v>100</v>
      </c>
      <c r="C44" t="s">
        <v>101</v>
      </c>
      <c r="D44" t="s">
        <v>6</v>
      </c>
    </row>
    <row r="45" spans="1:4">
      <c r="A45">
        <v>44</v>
      </c>
      <c r="B45" t="s">
        <v>102</v>
      </c>
      <c r="C45" t="s">
        <v>103</v>
      </c>
      <c r="D45" t="s">
        <v>30</v>
      </c>
    </row>
    <row r="46" spans="1:4">
      <c r="A46">
        <v>45</v>
      </c>
      <c r="B46" t="s">
        <v>104</v>
      </c>
      <c r="C46" t="s">
        <v>105</v>
      </c>
      <c r="D46" t="s">
        <v>6</v>
      </c>
    </row>
    <row r="47" spans="1:4">
      <c r="A47">
        <v>46</v>
      </c>
      <c r="B47" t="s">
        <v>106</v>
      </c>
      <c r="C47" t="s">
        <v>107</v>
      </c>
      <c r="D47" t="s">
        <v>6</v>
      </c>
    </row>
    <row r="48" spans="1:4">
      <c r="A48">
        <f>47</f>
        <v>47</v>
      </c>
      <c r="B48" t="s">
        <v>108</v>
      </c>
      <c r="C48" t="s">
        <v>109</v>
      </c>
      <c r="D48" t="s">
        <v>110</v>
      </c>
    </row>
    <row r="49" spans="1:4">
      <c r="A49">
        <f>47</f>
        <v>47</v>
      </c>
      <c r="B49" t="s">
        <v>111</v>
      </c>
      <c r="C49" t="s">
        <v>112</v>
      </c>
      <c r="D49" t="s">
        <v>37</v>
      </c>
    </row>
    <row r="50" spans="1:4">
      <c r="A50">
        <v>49</v>
      </c>
      <c r="B50" t="s">
        <v>113</v>
      </c>
      <c r="C50" t="s">
        <v>114</v>
      </c>
      <c r="D50" t="s">
        <v>37</v>
      </c>
    </row>
    <row r="51" spans="1:4">
      <c r="A51">
        <v>50</v>
      </c>
      <c r="B51" t="s">
        <v>115</v>
      </c>
      <c r="C51" t="s">
        <v>116</v>
      </c>
      <c r="D51" t="s">
        <v>93</v>
      </c>
    </row>
    <row r="52" spans="1:4">
      <c r="A52">
        <v>51</v>
      </c>
      <c r="B52" t="s">
        <v>117</v>
      </c>
      <c r="C52" t="s">
        <v>118</v>
      </c>
      <c r="D52" t="s">
        <v>9</v>
      </c>
    </row>
    <row r="53" spans="1:4">
      <c r="A53">
        <v>52</v>
      </c>
      <c r="B53" t="s">
        <v>119</v>
      </c>
      <c r="C53" t="s">
        <v>120</v>
      </c>
      <c r="D53" t="s">
        <v>6</v>
      </c>
    </row>
    <row r="54" spans="1:4">
      <c r="A54">
        <v>53</v>
      </c>
      <c r="B54" t="s">
        <v>121</v>
      </c>
      <c r="C54" t="s">
        <v>122</v>
      </c>
      <c r="D54" t="s">
        <v>110</v>
      </c>
    </row>
    <row r="55" spans="1:4">
      <c r="A55">
        <v>54</v>
      </c>
      <c r="B55" t="s">
        <v>123</v>
      </c>
      <c r="C55" t="s">
        <v>124</v>
      </c>
      <c r="D55" t="s">
        <v>30</v>
      </c>
    </row>
    <row r="56" spans="1:4">
      <c r="A56">
        <v>55</v>
      </c>
      <c r="B56" t="s">
        <v>125</v>
      </c>
      <c r="C56" t="s">
        <v>126</v>
      </c>
      <c r="D56" t="s">
        <v>6</v>
      </c>
    </row>
    <row r="57" spans="1:4">
      <c r="A57">
        <v>56</v>
      </c>
      <c r="B57" t="s">
        <v>127</v>
      </c>
      <c r="C57" t="s">
        <v>128</v>
      </c>
      <c r="D57" t="s">
        <v>9</v>
      </c>
    </row>
    <row r="58" spans="1:4">
      <c r="A58">
        <v>57</v>
      </c>
      <c r="B58" t="s">
        <v>129</v>
      </c>
      <c r="C58" t="s">
        <v>130</v>
      </c>
      <c r="D58" t="s">
        <v>86</v>
      </c>
    </row>
    <row r="59" spans="1:4">
      <c r="A59">
        <f>58</f>
        <v>58</v>
      </c>
      <c r="B59" t="s">
        <v>131</v>
      </c>
      <c r="C59" t="s">
        <v>132</v>
      </c>
      <c r="D59" t="s">
        <v>57</v>
      </c>
    </row>
    <row r="60" spans="1:4">
      <c r="A60">
        <f>58</f>
        <v>58</v>
      </c>
      <c r="B60" t="s">
        <v>133</v>
      </c>
      <c r="C60" t="s">
        <v>134</v>
      </c>
      <c r="D60" t="s">
        <v>135</v>
      </c>
    </row>
    <row r="61" spans="1:4">
      <c r="A61">
        <v>60</v>
      </c>
      <c r="B61" t="s">
        <v>136</v>
      </c>
      <c r="C61" t="s">
        <v>137</v>
      </c>
      <c r="D61" t="s">
        <v>138</v>
      </c>
    </row>
    <row r="62" spans="1:4">
      <c r="A62">
        <v>61</v>
      </c>
      <c r="B62" t="s">
        <v>139</v>
      </c>
      <c r="C62" t="s">
        <v>140</v>
      </c>
      <c r="D62" t="s">
        <v>93</v>
      </c>
    </row>
    <row r="63" spans="1:4">
      <c r="A63">
        <v>62</v>
      </c>
      <c r="B63" t="s">
        <v>141</v>
      </c>
      <c r="C63" t="s">
        <v>142</v>
      </c>
      <c r="D63" t="s">
        <v>6</v>
      </c>
    </row>
    <row r="64" spans="1:4">
      <c r="A64">
        <f>63</f>
        <v>63</v>
      </c>
      <c r="B64" t="s">
        <v>143</v>
      </c>
      <c r="C64" t="s">
        <v>144</v>
      </c>
      <c r="D64" t="s">
        <v>145</v>
      </c>
    </row>
    <row r="65" spans="1:4">
      <c r="A65">
        <f>63</f>
        <v>63</v>
      </c>
      <c r="B65" t="s">
        <v>146</v>
      </c>
      <c r="C65" t="s">
        <v>147</v>
      </c>
      <c r="D65" t="s">
        <v>30</v>
      </c>
    </row>
    <row r="66" spans="1:4">
      <c r="A66">
        <v>65</v>
      </c>
      <c r="B66" t="s">
        <v>148</v>
      </c>
      <c r="C66" t="s">
        <v>149</v>
      </c>
      <c r="D66" t="s">
        <v>150</v>
      </c>
    </row>
    <row r="67" spans="1:4">
      <c r="A67">
        <v>66</v>
      </c>
      <c r="B67" t="s">
        <v>151</v>
      </c>
      <c r="C67" t="s">
        <v>152</v>
      </c>
      <c r="D67" t="s">
        <v>6</v>
      </c>
    </row>
    <row r="68" spans="1:4">
      <c r="A68">
        <v>67</v>
      </c>
      <c r="B68" t="s">
        <v>153</v>
      </c>
      <c r="C68" t="s">
        <v>154</v>
      </c>
      <c r="D68" t="s">
        <v>155</v>
      </c>
    </row>
    <row r="69" spans="1:4">
      <c r="A69">
        <v>68</v>
      </c>
      <c r="B69" t="s">
        <v>156</v>
      </c>
      <c r="C69" t="s">
        <v>157</v>
      </c>
      <c r="D69" t="s">
        <v>6</v>
      </c>
    </row>
    <row r="70" spans="1:4">
      <c r="A70">
        <v>69</v>
      </c>
      <c r="B70" t="s">
        <v>158</v>
      </c>
      <c r="C70" t="s">
        <v>159</v>
      </c>
      <c r="D70" t="s">
        <v>6</v>
      </c>
    </row>
    <row r="71" spans="1:4">
      <c r="A71">
        <f>70</f>
        <v>70</v>
      </c>
      <c r="B71" t="s">
        <v>160</v>
      </c>
      <c r="C71" t="s">
        <v>161</v>
      </c>
      <c r="D71" t="s">
        <v>69</v>
      </c>
    </row>
    <row r="72" spans="1:4">
      <c r="A72">
        <f>70</f>
        <v>70</v>
      </c>
      <c r="B72" t="s">
        <v>162</v>
      </c>
      <c r="C72" t="s">
        <v>163</v>
      </c>
      <c r="D72" t="s">
        <v>6</v>
      </c>
    </row>
    <row r="73" spans="1:4">
      <c r="A73">
        <f>72</f>
        <v>72</v>
      </c>
      <c r="B73" t="s">
        <v>164</v>
      </c>
      <c r="C73" t="s">
        <v>165</v>
      </c>
      <c r="D73" t="s">
        <v>166</v>
      </c>
    </row>
    <row r="74" spans="1:4">
      <c r="A74">
        <f>72</f>
        <v>72</v>
      </c>
      <c r="B74" t="s">
        <v>167</v>
      </c>
      <c r="C74" t="s">
        <v>168</v>
      </c>
      <c r="D74" t="s">
        <v>69</v>
      </c>
    </row>
    <row r="75" spans="1:4">
      <c r="A75">
        <v>74</v>
      </c>
      <c r="B75" t="s">
        <v>169</v>
      </c>
      <c r="C75" t="s">
        <v>170</v>
      </c>
      <c r="D75" t="s">
        <v>9</v>
      </c>
    </row>
    <row r="76" spans="1:4">
      <c r="A76">
        <v>75</v>
      </c>
      <c r="B76" t="s">
        <v>171</v>
      </c>
      <c r="C76" t="s">
        <v>172</v>
      </c>
      <c r="D76" t="s">
        <v>173</v>
      </c>
    </row>
    <row r="77" spans="1:4">
      <c r="A77">
        <v>76</v>
      </c>
      <c r="B77" t="s">
        <v>174</v>
      </c>
      <c r="C77" t="s">
        <v>175</v>
      </c>
      <c r="D77" t="s">
        <v>9</v>
      </c>
    </row>
    <row r="78" spans="1:4">
      <c r="A78">
        <v>77</v>
      </c>
      <c r="B78" t="s">
        <v>176</v>
      </c>
      <c r="C78" t="s">
        <v>177</v>
      </c>
      <c r="D78" t="s">
        <v>48</v>
      </c>
    </row>
    <row r="79" spans="1:4">
      <c r="A79">
        <v>78</v>
      </c>
      <c r="B79" t="s">
        <v>178</v>
      </c>
      <c r="C79" t="s">
        <v>179</v>
      </c>
      <c r="D79" t="s">
        <v>166</v>
      </c>
    </row>
    <row r="80" spans="1:4">
      <c r="A80">
        <v>79</v>
      </c>
      <c r="B80" t="s">
        <v>180</v>
      </c>
      <c r="C80" t="s">
        <v>181</v>
      </c>
      <c r="D80" t="s">
        <v>9</v>
      </c>
    </row>
    <row r="81" spans="1:4">
      <c r="A81">
        <v>80</v>
      </c>
      <c r="B81" t="s">
        <v>182</v>
      </c>
      <c r="C81" t="s">
        <v>183</v>
      </c>
      <c r="D81" t="s">
        <v>57</v>
      </c>
    </row>
    <row r="82" spans="1:4">
      <c r="A82">
        <v>81</v>
      </c>
      <c r="B82" t="s">
        <v>184</v>
      </c>
      <c r="C82" t="s">
        <v>185</v>
      </c>
      <c r="D82" t="s">
        <v>6</v>
      </c>
    </row>
    <row r="83" spans="1:4">
      <c r="A83">
        <f>82</f>
        <v>82</v>
      </c>
      <c r="B83" t="s">
        <v>186</v>
      </c>
      <c r="C83" t="s">
        <v>187</v>
      </c>
      <c r="D83" t="s">
        <v>6</v>
      </c>
    </row>
    <row r="84" spans="1:4">
      <c r="A84">
        <f>82</f>
        <v>82</v>
      </c>
      <c r="B84" t="s">
        <v>188</v>
      </c>
      <c r="C84" t="s">
        <v>189</v>
      </c>
      <c r="D84" t="s">
        <v>48</v>
      </c>
    </row>
    <row r="85" spans="1:4">
      <c r="A85">
        <v>84</v>
      </c>
      <c r="B85" t="s">
        <v>190</v>
      </c>
      <c r="C85" t="s">
        <v>191</v>
      </c>
      <c r="D85" t="s">
        <v>192</v>
      </c>
    </row>
    <row r="86" spans="1:4">
      <c r="A86">
        <v>85</v>
      </c>
      <c r="B86" t="s">
        <v>193</v>
      </c>
      <c r="C86" t="s">
        <v>194</v>
      </c>
      <c r="D86" t="s">
        <v>86</v>
      </c>
    </row>
    <row r="87" spans="1:4">
      <c r="A87">
        <v>86</v>
      </c>
      <c r="B87" t="s">
        <v>195</v>
      </c>
      <c r="C87" t="s">
        <v>196</v>
      </c>
      <c r="D87" t="s">
        <v>9</v>
      </c>
    </row>
    <row r="88" spans="1:4">
      <c r="A88">
        <v>87</v>
      </c>
      <c r="B88" t="s">
        <v>197</v>
      </c>
      <c r="C88" t="s">
        <v>198</v>
      </c>
      <c r="D88" t="s">
        <v>9</v>
      </c>
    </row>
    <row r="89" spans="1:4">
      <c r="A89">
        <f>88</f>
        <v>88</v>
      </c>
      <c r="B89" t="s">
        <v>199</v>
      </c>
      <c r="C89" t="s">
        <v>200</v>
      </c>
      <c r="D89" t="s">
        <v>57</v>
      </c>
    </row>
    <row r="90" spans="1:4">
      <c r="A90">
        <f>88</f>
        <v>88</v>
      </c>
      <c r="B90" t="s">
        <v>201</v>
      </c>
      <c r="C90" t="s">
        <v>202</v>
      </c>
      <c r="D90" t="s">
        <v>6</v>
      </c>
    </row>
    <row r="91" spans="1:4">
      <c r="A91">
        <f>88</f>
        <v>88</v>
      </c>
      <c r="B91" t="s">
        <v>203</v>
      </c>
      <c r="C91" t="s">
        <v>204</v>
      </c>
      <c r="D91" t="s">
        <v>6</v>
      </c>
    </row>
    <row r="92" spans="1:4">
      <c r="A92">
        <v>91</v>
      </c>
      <c r="B92" t="s">
        <v>205</v>
      </c>
      <c r="C92" t="s">
        <v>206</v>
      </c>
      <c r="D92" t="s">
        <v>86</v>
      </c>
    </row>
    <row r="93" spans="1:4">
      <c r="A93">
        <v>92</v>
      </c>
      <c r="B93" t="s">
        <v>207</v>
      </c>
      <c r="C93" t="s">
        <v>208</v>
      </c>
      <c r="D93" t="s">
        <v>9</v>
      </c>
    </row>
    <row r="94" spans="1:4">
      <c r="A94">
        <v>93</v>
      </c>
      <c r="B94" t="s">
        <v>209</v>
      </c>
      <c r="C94" t="s">
        <v>210</v>
      </c>
      <c r="D94" t="s">
        <v>166</v>
      </c>
    </row>
    <row r="95" spans="1:4">
      <c r="A95">
        <f>94</f>
        <v>94</v>
      </c>
      <c r="B95" t="s">
        <v>211</v>
      </c>
      <c r="C95" t="s">
        <v>212</v>
      </c>
      <c r="D95" t="s">
        <v>66</v>
      </c>
    </row>
    <row r="96" spans="1:4">
      <c r="A96">
        <f>94</f>
        <v>94</v>
      </c>
      <c r="B96" t="s">
        <v>213</v>
      </c>
      <c r="C96" t="s">
        <v>214</v>
      </c>
      <c r="D96" t="s">
        <v>9</v>
      </c>
    </row>
    <row r="97" spans="1:4">
      <c r="A97">
        <v>96</v>
      </c>
      <c r="B97" t="s">
        <v>215</v>
      </c>
      <c r="C97" t="s">
        <v>216</v>
      </c>
      <c r="D97" t="s">
        <v>48</v>
      </c>
    </row>
    <row r="98" spans="1:4">
      <c r="A98">
        <v>97</v>
      </c>
      <c r="B98" t="s">
        <v>217</v>
      </c>
      <c r="C98" t="s">
        <v>218</v>
      </c>
      <c r="D98" t="s">
        <v>9</v>
      </c>
    </row>
    <row r="99" spans="1:4">
      <c r="A99">
        <f>98</f>
        <v>98</v>
      </c>
      <c r="B99" t="s">
        <v>219</v>
      </c>
      <c r="C99" t="s">
        <v>220</v>
      </c>
      <c r="D99" t="s">
        <v>57</v>
      </c>
    </row>
    <row r="100" spans="1:4">
      <c r="A100">
        <f>98</f>
        <v>98</v>
      </c>
      <c r="B100" t="s">
        <v>221</v>
      </c>
      <c r="C100" t="s">
        <v>222</v>
      </c>
      <c r="D100" t="s">
        <v>223</v>
      </c>
    </row>
    <row r="101" spans="1:4">
      <c r="A101">
        <v>100</v>
      </c>
      <c r="B101" t="s">
        <v>224</v>
      </c>
      <c r="C101" t="s">
        <v>225</v>
      </c>
      <c r="D101" t="s">
        <v>20</v>
      </c>
    </row>
    <row r="102" spans="1:4">
      <c r="A102">
        <v>101</v>
      </c>
      <c r="B102" t="s">
        <v>226</v>
      </c>
      <c r="C102" t="s">
        <v>227</v>
      </c>
      <c r="D102" t="s">
        <v>228</v>
      </c>
    </row>
    <row r="103" spans="1:4">
      <c r="A103">
        <v>102</v>
      </c>
      <c r="B103" t="s">
        <v>229</v>
      </c>
      <c r="C103" t="s">
        <v>230</v>
      </c>
      <c r="D103" t="s">
        <v>93</v>
      </c>
    </row>
    <row r="104" spans="1:4">
      <c r="A104">
        <f>103</f>
        <v>103</v>
      </c>
      <c r="B104" t="s">
        <v>231</v>
      </c>
      <c r="C104" t="s">
        <v>232</v>
      </c>
      <c r="D104" t="s">
        <v>37</v>
      </c>
    </row>
    <row r="105" spans="1:4">
      <c r="A105">
        <f>103</f>
        <v>103</v>
      </c>
      <c r="B105" t="s">
        <v>233</v>
      </c>
      <c r="C105" t="s">
        <v>234</v>
      </c>
      <c r="D105" t="s">
        <v>110</v>
      </c>
    </row>
    <row r="106" spans="1:4">
      <c r="A106">
        <f>105</f>
        <v>105</v>
      </c>
      <c r="B106" t="s">
        <v>235</v>
      </c>
      <c r="C106" t="s">
        <v>236</v>
      </c>
      <c r="D106" t="s">
        <v>237</v>
      </c>
    </row>
    <row r="107" spans="1:4">
      <c r="A107">
        <f>105</f>
        <v>105</v>
      </c>
      <c r="B107" t="s">
        <v>238</v>
      </c>
      <c r="C107" t="s">
        <v>239</v>
      </c>
      <c r="D107" t="s">
        <v>57</v>
      </c>
    </row>
    <row r="108" spans="1:4">
      <c r="A108">
        <v>107</v>
      </c>
      <c r="B108" t="s">
        <v>240</v>
      </c>
      <c r="C108" t="s">
        <v>241</v>
      </c>
      <c r="D108" t="s">
        <v>228</v>
      </c>
    </row>
    <row r="109" spans="1:4">
      <c r="A109">
        <v>108</v>
      </c>
      <c r="B109" t="s">
        <v>242</v>
      </c>
      <c r="C109" t="s">
        <v>243</v>
      </c>
      <c r="D109" t="s">
        <v>244</v>
      </c>
    </row>
    <row r="110" spans="1:4">
      <c r="A110">
        <v>109</v>
      </c>
      <c r="B110" t="s">
        <v>245</v>
      </c>
      <c r="C110" t="s">
        <v>246</v>
      </c>
      <c r="D110" t="s">
        <v>86</v>
      </c>
    </row>
    <row r="111" spans="1:4">
      <c r="A111">
        <f>110</f>
        <v>110</v>
      </c>
      <c r="B111" t="s">
        <v>247</v>
      </c>
      <c r="C111" t="s">
        <v>248</v>
      </c>
      <c r="D111" t="s">
        <v>9</v>
      </c>
    </row>
    <row r="112" spans="1:4">
      <c r="A112">
        <f>110</f>
        <v>110</v>
      </c>
      <c r="B112" t="s">
        <v>249</v>
      </c>
      <c r="C112" t="s">
        <v>250</v>
      </c>
      <c r="D112" t="s">
        <v>6</v>
      </c>
    </row>
    <row r="113" spans="1:4">
      <c r="A113">
        <v>112</v>
      </c>
      <c r="B113" t="s">
        <v>251</v>
      </c>
      <c r="C113" t="s">
        <v>252</v>
      </c>
      <c r="D113" t="s">
        <v>253</v>
      </c>
    </row>
    <row r="114" spans="1:4">
      <c r="A114">
        <v>113</v>
      </c>
      <c r="B114" t="s">
        <v>254</v>
      </c>
      <c r="C114" t="s">
        <v>255</v>
      </c>
      <c r="D114" t="s">
        <v>9</v>
      </c>
    </row>
    <row r="115" spans="1:4">
      <c r="A115">
        <f>114</f>
        <v>114</v>
      </c>
      <c r="B115" t="s">
        <v>256</v>
      </c>
      <c r="C115" t="s">
        <v>257</v>
      </c>
      <c r="D115" t="s">
        <v>258</v>
      </c>
    </row>
    <row r="116" spans="1:4">
      <c r="A116">
        <f>114</f>
        <v>114</v>
      </c>
      <c r="B116" t="s">
        <v>259</v>
      </c>
      <c r="C116" t="s">
        <v>260</v>
      </c>
      <c r="D116" t="s">
        <v>6</v>
      </c>
    </row>
    <row r="117" spans="1:4">
      <c r="A117">
        <f>116</f>
        <v>116</v>
      </c>
      <c r="B117" t="s">
        <v>261</v>
      </c>
      <c r="C117" t="s">
        <v>262</v>
      </c>
      <c r="D117" t="s">
        <v>258</v>
      </c>
    </row>
    <row r="118" spans="1:4">
      <c r="A118">
        <f>116</f>
        <v>116</v>
      </c>
      <c r="B118" t="s">
        <v>263</v>
      </c>
      <c r="C118" t="s">
        <v>264</v>
      </c>
      <c r="D118" t="s">
        <v>265</v>
      </c>
    </row>
    <row r="119" spans="1:4">
      <c r="A119">
        <v>118</v>
      </c>
      <c r="B119" t="s">
        <v>266</v>
      </c>
      <c r="C119" t="s">
        <v>267</v>
      </c>
      <c r="D119" t="s">
        <v>173</v>
      </c>
    </row>
    <row r="120" spans="1:4">
      <c r="A120">
        <f>119</f>
        <v>119</v>
      </c>
      <c r="B120" t="s">
        <v>268</v>
      </c>
      <c r="C120" t="s">
        <v>269</v>
      </c>
      <c r="D120" t="s">
        <v>270</v>
      </c>
    </row>
    <row r="121" spans="1:4">
      <c r="A121">
        <f>119</f>
        <v>119</v>
      </c>
      <c r="B121" t="s">
        <v>271</v>
      </c>
      <c r="C121" t="s">
        <v>272</v>
      </c>
      <c r="D121" t="s">
        <v>66</v>
      </c>
    </row>
    <row r="122" spans="1:4">
      <c r="A122">
        <f>119</f>
        <v>119</v>
      </c>
      <c r="B122" t="s">
        <v>273</v>
      </c>
      <c r="C122" t="s">
        <v>274</v>
      </c>
      <c r="D122" t="s">
        <v>110</v>
      </c>
    </row>
    <row r="123" spans="1:4">
      <c r="A123">
        <f>119</f>
        <v>119</v>
      </c>
      <c r="B123" t="s">
        <v>275</v>
      </c>
      <c r="C123" t="s">
        <v>276</v>
      </c>
      <c r="D123" t="s">
        <v>6</v>
      </c>
    </row>
    <row r="124" spans="1:4">
      <c r="A124">
        <f>123</f>
        <v>123</v>
      </c>
      <c r="B124" t="s">
        <v>277</v>
      </c>
      <c r="C124" t="s">
        <v>278</v>
      </c>
      <c r="D124" t="s">
        <v>6</v>
      </c>
    </row>
    <row r="125" spans="1:4">
      <c r="A125">
        <f>123</f>
        <v>123</v>
      </c>
      <c r="B125" t="s">
        <v>279</v>
      </c>
      <c r="C125" t="s">
        <v>280</v>
      </c>
      <c r="D125" t="s">
        <v>281</v>
      </c>
    </row>
    <row r="126" spans="1:4">
      <c r="A126">
        <v>125</v>
      </c>
      <c r="B126" t="s">
        <v>282</v>
      </c>
      <c r="C126" t="s">
        <v>283</v>
      </c>
      <c r="D126" t="s">
        <v>48</v>
      </c>
    </row>
    <row r="127" spans="1:4">
      <c r="A127">
        <f>126</f>
        <v>126</v>
      </c>
      <c r="B127" t="s">
        <v>284</v>
      </c>
      <c r="C127" t="s">
        <v>285</v>
      </c>
      <c r="D127" t="s">
        <v>93</v>
      </c>
    </row>
    <row r="128" spans="1:4">
      <c r="A128">
        <f>126</f>
        <v>126</v>
      </c>
      <c r="B128" t="s">
        <v>286</v>
      </c>
      <c r="C128" t="s">
        <v>287</v>
      </c>
      <c r="D128" t="s">
        <v>135</v>
      </c>
    </row>
    <row r="129" spans="1:4">
      <c r="A129">
        <v>128</v>
      </c>
      <c r="B129" t="s">
        <v>288</v>
      </c>
      <c r="C129" t="s">
        <v>289</v>
      </c>
      <c r="D129" t="s">
        <v>223</v>
      </c>
    </row>
    <row r="130" spans="1:4">
      <c r="A130">
        <v>129</v>
      </c>
      <c r="B130" t="s">
        <v>290</v>
      </c>
      <c r="C130" t="s">
        <v>291</v>
      </c>
      <c r="D130" t="s">
        <v>281</v>
      </c>
    </row>
    <row r="131" spans="1:4">
      <c r="A131">
        <v>130</v>
      </c>
      <c r="B131" t="s">
        <v>292</v>
      </c>
      <c r="C131" t="s">
        <v>293</v>
      </c>
      <c r="D131" t="s">
        <v>57</v>
      </c>
    </row>
    <row r="132" spans="1:4">
      <c r="A132">
        <v>131</v>
      </c>
      <c r="B132" t="s">
        <v>294</v>
      </c>
      <c r="C132" t="s">
        <v>295</v>
      </c>
      <c r="D132" t="s">
        <v>228</v>
      </c>
    </row>
    <row r="133" spans="1:4">
      <c r="A133">
        <f>132</f>
        <v>132</v>
      </c>
      <c r="B133" t="s">
        <v>296</v>
      </c>
      <c r="C133" t="s">
        <v>297</v>
      </c>
      <c r="D133" t="s">
        <v>9</v>
      </c>
    </row>
    <row r="134" spans="1:4">
      <c r="A134">
        <f>132</f>
        <v>132</v>
      </c>
      <c r="B134" t="s">
        <v>298</v>
      </c>
      <c r="C134" t="s">
        <v>299</v>
      </c>
      <c r="D134" t="s">
        <v>37</v>
      </c>
    </row>
    <row r="135" spans="1:4">
      <c r="A135">
        <f>134</f>
        <v>134</v>
      </c>
      <c r="B135" t="s">
        <v>300</v>
      </c>
      <c r="C135" t="s">
        <v>301</v>
      </c>
      <c r="D135" t="s">
        <v>135</v>
      </c>
    </row>
    <row r="136" spans="1:4">
      <c r="A136">
        <f>134</f>
        <v>134</v>
      </c>
      <c r="B136" t="s">
        <v>302</v>
      </c>
      <c r="C136" t="s">
        <v>303</v>
      </c>
      <c r="D136" t="s">
        <v>135</v>
      </c>
    </row>
    <row r="137" spans="1:4">
      <c r="A137">
        <v>136</v>
      </c>
      <c r="B137" t="s">
        <v>304</v>
      </c>
      <c r="C137" t="s">
        <v>305</v>
      </c>
      <c r="D137" t="s">
        <v>306</v>
      </c>
    </row>
    <row r="138" spans="1:4">
      <c r="A138">
        <v>137</v>
      </c>
      <c r="B138" t="s">
        <v>307</v>
      </c>
      <c r="C138" t="s">
        <v>308</v>
      </c>
      <c r="D138" t="s">
        <v>9</v>
      </c>
    </row>
    <row r="139" spans="1:4">
      <c r="A139">
        <f>138</f>
        <v>138</v>
      </c>
      <c r="B139" t="s">
        <v>309</v>
      </c>
      <c r="C139" t="s">
        <v>310</v>
      </c>
      <c r="D139" t="s">
        <v>223</v>
      </c>
    </row>
    <row r="140" spans="1:4">
      <c r="A140">
        <f>138</f>
        <v>138</v>
      </c>
      <c r="B140" t="s">
        <v>311</v>
      </c>
      <c r="C140" t="s">
        <v>312</v>
      </c>
      <c r="D140" t="s">
        <v>48</v>
      </c>
    </row>
    <row r="141" spans="1:4">
      <c r="A141">
        <f>140</f>
        <v>140</v>
      </c>
      <c r="B141" t="s">
        <v>313</v>
      </c>
      <c r="C141" t="s">
        <v>314</v>
      </c>
      <c r="D141" t="s">
        <v>110</v>
      </c>
    </row>
    <row r="142" spans="1:4">
      <c r="A142">
        <f>140</f>
        <v>140</v>
      </c>
      <c r="B142" t="s">
        <v>315</v>
      </c>
      <c r="C142" t="s">
        <v>316</v>
      </c>
      <c r="D142" t="s">
        <v>6</v>
      </c>
    </row>
    <row r="143" spans="1:4">
      <c r="A143">
        <f>140</f>
        <v>140</v>
      </c>
      <c r="B143" t="s">
        <v>317</v>
      </c>
      <c r="C143" t="s">
        <v>318</v>
      </c>
      <c r="D143" t="s">
        <v>110</v>
      </c>
    </row>
    <row r="144" spans="1:4">
      <c r="A144">
        <v>143</v>
      </c>
      <c r="B144" t="s">
        <v>319</v>
      </c>
      <c r="C144" t="s">
        <v>320</v>
      </c>
      <c r="D144" t="s">
        <v>155</v>
      </c>
    </row>
    <row r="145" spans="1:4">
      <c r="A145">
        <v>144</v>
      </c>
      <c r="B145" t="s">
        <v>321</v>
      </c>
      <c r="C145" t="s">
        <v>322</v>
      </c>
      <c r="D145" t="s">
        <v>6</v>
      </c>
    </row>
    <row r="146" spans="1:4">
      <c r="A146">
        <v>145</v>
      </c>
      <c r="B146" t="s">
        <v>323</v>
      </c>
      <c r="C146" t="s">
        <v>324</v>
      </c>
      <c r="D146" t="s">
        <v>57</v>
      </c>
    </row>
    <row r="147" spans="1:4">
      <c r="A147">
        <v>146</v>
      </c>
      <c r="B147" t="s">
        <v>325</v>
      </c>
      <c r="C147" t="s">
        <v>326</v>
      </c>
      <c r="D147" t="s">
        <v>6</v>
      </c>
    </row>
    <row r="148" spans="1:4">
      <c r="A148">
        <f>147</f>
        <v>147</v>
      </c>
      <c r="B148" t="s">
        <v>327</v>
      </c>
      <c r="C148" t="s">
        <v>328</v>
      </c>
      <c r="D148" t="s">
        <v>110</v>
      </c>
    </row>
    <row r="149" spans="1:4">
      <c r="A149">
        <f>147</f>
        <v>147</v>
      </c>
      <c r="B149" t="s">
        <v>329</v>
      </c>
      <c r="C149" t="s">
        <v>330</v>
      </c>
      <c r="D149" t="s">
        <v>9</v>
      </c>
    </row>
    <row r="150" spans="1:4">
      <c r="A150">
        <f>147</f>
        <v>147</v>
      </c>
      <c r="B150" t="s">
        <v>331</v>
      </c>
      <c r="C150" t="s">
        <v>332</v>
      </c>
      <c r="D150" t="s">
        <v>166</v>
      </c>
    </row>
    <row r="151" spans="1:4">
      <c r="A151">
        <v>150</v>
      </c>
      <c r="B151" t="s">
        <v>333</v>
      </c>
      <c r="C151" t="s">
        <v>334</v>
      </c>
      <c r="D151" t="s">
        <v>335</v>
      </c>
    </row>
    <row r="152" spans="1:4">
      <c r="A152">
        <v>151</v>
      </c>
      <c r="B152" t="s">
        <v>336</v>
      </c>
      <c r="C152" t="s">
        <v>337</v>
      </c>
      <c r="D152" t="s">
        <v>66</v>
      </c>
    </row>
    <row r="153" spans="1:4">
      <c r="A153">
        <v>152</v>
      </c>
      <c r="B153" t="s">
        <v>338</v>
      </c>
      <c r="C153" t="s">
        <v>339</v>
      </c>
      <c r="D153" t="s">
        <v>340</v>
      </c>
    </row>
    <row r="154" spans="1:4">
      <c r="A154">
        <f>153</f>
        <v>153</v>
      </c>
      <c r="B154" t="s">
        <v>341</v>
      </c>
      <c r="C154" t="s">
        <v>342</v>
      </c>
      <c r="D154" t="s">
        <v>135</v>
      </c>
    </row>
    <row r="155" spans="1:4">
      <c r="A155">
        <f>153</f>
        <v>153</v>
      </c>
      <c r="B155" t="s">
        <v>343</v>
      </c>
      <c r="C155" t="s">
        <v>344</v>
      </c>
      <c r="D155" t="s">
        <v>110</v>
      </c>
    </row>
    <row r="156" spans="1:4">
      <c r="A156">
        <f>155</f>
        <v>155</v>
      </c>
      <c r="B156" t="s">
        <v>345</v>
      </c>
      <c r="C156" t="s">
        <v>346</v>
      </c>
      <c r="D156" t="s">
        <v>9</v>
      </c>
    </row>
    <row r="157" spans="1:4">
      <c r="A157">
        <f>155</f>
        <v>155</v>
      </c>
      <c r="B157" t="s">
        <v>347</v>
      </c>
      <c r="C157" t="s">
        <v>348</v>
      </c>
      <c r="D157" t="s">
        <v>20</v>
      </c>
    </row>
    <row r="158" spans="1:4">
      <c r="A158">
        <v>157</v>
      </c>
      <c r="B158" t="s">
        <v>349</v>
      </c>
      <c r="C158" t="s">
        <v>350</v>
      </c>
      <c r="D158" t="s">
        <v>9</v>
      </c>
    </row>
    <row r="159" spans="1:4">
      <c r="A159">
        <v>158</v>
      </c>
      <c r="B159" t="s">
        <v>351</v>
      </c>
      <c r="C159" t="s">
        <v>352</v>
      </c>
      <c r="D159" t="s">
        <v>20</v>
      </c>
    </row>
    <row r="160" spans="1:4">
      <c r="A160">
        <v>159</v>
      </c>
      <c r="B160" t="s">
        <v>353</v>
      </c>
      <c r="C160" t="s">
        <v>354</v>
      </c>
      <c r="D160" t="s">
        <v>93</v>
      </c>
    </row>
    <row r="161" spans="1:4">
      <c r="A161">
        <v>160</v>
      </c>
      <c r="B161" t="s">
        <v>355</v>
      </c>
      <c r="C161" t="s">
        <v>356</v>
      </c>
      <c r="D161" t="s">
        <v>357</v>
      </c>
    </row>
    <row r="162" spans="1:4">
      <c r="A162">
        <v>161</v>
      </c>
      <c r="B162" t="s">
        <v>358</v>
      </c>
      <c r="C162" t="s">
        <v>359</v>
      </c>
      <c r="D162" t="s">
        <v>6</v>
      </c>
    </row>
    <row r="163" spans="1:4">
      <c r="A163">
        <v>162</v>
      </c>
      <c r="B163" t="s">
        <v>360</v>
      </c>
      <c r="C163" t="s">
        <v>361</v>
      </c>
      <c r="D163" t="s">
        <v>138</v>
      </c>
    </row>
    <row r="164" spans="1:4">
      <c r="A164">
        <v>163</v>
      </c>
      <c r="B164" t="s">
        <v>362</v>
      </c>
      <c r="C164" t="s">
        <v>363</v>
      </c>
      <c r="D164" t="s">
        <v>155</v>
      </c>
    </row>
    <row r="165" spans="1:4">
      <c r="A165">
        <v>164</v>
      </c>
      <c r="B165" t="s">
        <v>364</v>
      </c>
      <c r="C165" t="s">
        <v>365</v>
      </c>
      <c r="D165" t="s">
        <v>86</v>
      </c>
    </row>
    <row r="166" spans="1:4">
      <c r="A166">
        <v>165</v>
      </c>
      <c r="B166" t="s">
        <v>366</v>
      </c>
      <c r="C166" t="s">
        <v>367</v>
      </c>
      <c r="D166" t="s">
        <v>166</v>
      </c>
    </row>
    <row r="167" spans="1:4">
      <c r="A167">
        <v>166</v>
      </c>
      <c r="B167" t="s">
        <v>368</v>
      </c>
      <c r="C167" t="s">
        <v>369</v>
      </c>
      <c r="D167" t="s">
        <v>370</v>
      </c>
    </row>
    <row r="168" spans="1:4">
      <c r="A168">
        <v>167</v>
      </c>
      <c r="B168" t="s">
        <v>371</v>
      </c>
      <c r="C168" t="s">
        <v>372</v>
      </c>
      <c r="D168" t="s">
        <v>6</v>
      </c>
    </row>
    <row r="169" spans="1:4">
      <c r="A169">
        <v>168</v>
      </c>
      <c r="B169" t="s">
        <v>373</v>
      </c>
      <c r="C169" t="s">
        <v>374</v>
      </c>
      <c r="D169" t="s">
        <v>66</v>
      </c>
    </row>
    <row r="170" spans="1:4">
      <c r="A170">
        <v>169</v>
      </c>
      <c r="B170" t="s">
        <v>375</v>
      </c>
      <c r="C170" t="s">
        <v>376</v>
      </c>
      <c r="D170" t="s">
        <v>9</v>
      </c>
    </row>
    <row r="171" spans="1:4">
      <c r="A171">
        <f>170</f>
        <v>170</v>
      </c>
      <c r="B171" t="s">
        <v>377</v>
      </c>
      <c r="C171" t="s">
        <v>378</v>
      </c>
      <c r="D171" t="s">
        <v>86</v>
      </c>
    </row>
    <row r="172" spans="1:4">
      <c r="A172">
        <f>170</f>
        <v>170</v>
      </c>
      <c r="B172" t="s">
        <v>379</v>
      </c>
      <c r="C172" t="s">
        <v>380</v>
      </c>
      <c r="D172" t="s">
        <v>86</v>
      </c>
    </row>
    <row r="173" spans="1:4">
      <c r="A173">
        <v>172</v>
      </c>
      <c r="B173" t="s">
        <v>381</v>
      </c>
      <c r="C173" t="s">
        <v>382</v>
      </c>
      <c r="D173" t="s">
        <v>357</v>
      </c>
    </row>
    <row r="174" spans="1:4">
      <c r="A174">
        <f>173</f>
        <v>173</v>
      </c>
      <c r="B174" t="s">
        <v>383</v>
      </c>
      <c r="C174" t="s">
        <v>384</v>
      </c>
      <c r="D174" t="s">
        <v>66</v>
      </c>
    </row>
    <row r="175" spans="1:4">
      <c r="A175">
        <f>173</f>
        <v>173</v>
      </c>
      <c r="B175" t="s">
        <v>385</v>
      </c>
      <c r="C175" t="s">
        <v>386</v>
      </c>
      <c r="D175" t="s">
        <v>6</v>
      </c>
    </row>
    <row r="176" spans="1:4">
      <c r="A176">
        <f>173</f>
        <v>173</v>
      </c>
      <c r="B176" t="s">
        <v>387</v>
      </c>
      <c r="C176" t="s">
        <v>388</v>
      </c>
      <c r="D176" t="s">
        <v>265</v>
      </c>
    </row>
    <row r="177" spans="1:4">
      <c r="A177">
        <v>176</v>
      </c>
      <c r="B177" t="s">
        <v>389</v>
      </c>
      <c r="C177" t="s">
        <v>390</v>
      </c>
      <c r="D177" t="s">
        <v>145</v>
      </c>
    </row>
    <row r="178" spans="1:4">
      <c r="A178">
        <f>177</f>
        <v>177</v>
      </c>
      <c r="B178" t="s">
        <v>391</v>
      </c>
      <c r="C178" t="s">
        <v>392</v>
      </c>
      <c r="D178" t="s">
        <v>393</v>
      </c>
    </row>
    <row r="179" spans="1:4">
      <c r="A179">
        <f>177</f>
        <v>177</v>
      </c>
      <c r="B179" t="s">
        <v>394</v>
      </c>
      <c r="C179" t="s">
        <v>395</v>
      </c>
      <c r="D179" t="s">
        <v>37</v>
      </c>
    </row>
    <row r="180" spans="1:4">
      <c r="A180">
        <v>179</v>
      </c>
      <c r="B180" t="s">
        <v>396</v>
      </c>
      <c r="C180" t="s">
        <v>397</v>
      </c>
      <c r="D180" t="s">
        <v>6</v>
      </c>
    </row>
    <row r="181" spans="1:4">
      <c r="A181">
        <v>180</v>
      </c>
      <c r="B181" t="s">
        <v>398</v>
      </c>
      <c r="C181" t="s">
        <v>399</v>
      </c>
      <c r="D181" t="s">
        <v>281</v>
      </c>
    </row>
    <row r="182" spans="1:4">
      <c r="A182">
        <v>181</v>
      </c>
      <c r="B182" t="s">
        <v>400</v>
      </c>
      <c r="C182" t="s">
        <v>401</v>
      </c>
      <c r="D182" t="s">
        <v>9</v>
      </c>
    </row>
    <row r="183" spans="1:4">
      <c r="A183">
        <v>182</v>
      </c>
      <c r="B183" t="s">
        <v>402</v>
      </c>
      <c r="C183" t="s">
        <v>403</v>
      </c>
      <c r="D183" t="s">
        <v>6</v>
      </c>
    </row>
    <row r="184" spans="1:4">
      <c r="A184">
        <v>183</v>
      </c>
      <c r="B184" t="s">
        <v>404</v>
      </c>
      <c r="C184" t="s">
        <v>405</v>
      </c>
      <c r="D184" t="s">
        <v>48</v>
      </c>
    </row>
    <row r="185" spans="1:4">
      <c r="A185">
        <f>184</f>
        <v>184</v>
      </c>
      <c r="B185" t="s">
        <v>406</v>
      </c>
      <c r="C185" t="s">
        <v>407</v>
      </c>
      <c r="D185" t="s">
        <v>20</v>
      </c>
    </row>
    <row r="186" spans="1:4">
      <c r="A186">
        <f>184</f>
        <v>184</v>
      </c>
      <c r="B186" t="s">
        <v>408</v>
      </c>
      <c r="C186" t="s">
        <v>409</v>
      </c>
      <c r="D186" t="s">
        <v>48</v>
      </c>
    </row>
    <row r="187" spans="1:4">
      <c r="A187">
        <v>186</v>
      </c>
      <c r="B187" t="s">
        <v>410</v>
      </c>
      <c r="C187" t="s">
        <v>411</v>
      </c>
      <c r="D187" t="s">
        <v>37</v>
      </c>
    </row>
    <row r="188" spans="1:4">
      <c r="A188">
        <f>187</f>
        <v>187</v>
      </c>
      <c r="B188" t="s">
        <v>412</v>
      </c>
      <c r="C188" t="s">
        <v>413</v>
      </c>
      <c r="D188" t="s">
        <v>357</v>
      </c>
    </row>
    <row r="189" spans="1:4">
      <c r="A189">
        <f>187</f>
        <v>187</v>
      </c>
      <c r="B189" t="s">
        <v>414</v>
      </c>
      <c r="C189" t="s">
        <v>415</v>
      </c>
      <c r="D189" t="s">
        <v>306</v>
      </c>
    </row>
    <row r="190" spans="1:4">
      <c r="A190">
        <v>189</v>
      </c>
      <c r="B190" t="s">
        <v>416</v>
      </c>
      <c r="C190" t="s">
        <v>417</v>
      </c>
      <c r="D190" t="s">
        <v>418</v>
      </c>
    </row>
    <row r="191" spans="1:4">
      <c r="A191">
        <v>190</v>
      </c>
      <c r="B191" t="s">
        <v>419</v>
      </c>
      <c r="C191" t="s">
        <v>420</v>
      </c>
      <c r="D191" t="s">
        <v>6</v>
      </c>
    </row>
    <row r="192" spans="1:4">
      <c r="A192">
        <f>191</f>
        <v>191</v>
      </c>
      <c r="B192" t="s">
        <v>421</v>
      </c>
      <c r="C192" t="s">
        <v>422</v>
      </c>
      <c r="D192" t="s">
        <v>138</v>
      </c>
    </row>
    <row r="193" spans="1:4">
      <c r="A193">
        <f>191</f>
        <v>191</v>
      </c>
      <c r="B193" t="s">
        <v>423</v>
      </c>
      <c r="C193" t="s">
        <v>424</v>
      </c>
      <c r="D193" t="s">
        <v>66</v>
      </c>
    </row>
    <row r="194" spans="1:4">
      <c r="A194">
        <v>193</v>
      </c>
      <c r="B194" t="s">
        <v>425</v>
      </c>
      <c r="C194" t="s">
        <v>426</v>
      </c>
      <c r="D194" t="s">
        <v>57</v>
      </c>
    </row>
    <row r="195" spans="1:4">
      <c r="A195">
        <f>194</f>
        <v>194</v>
      </c>
      <c r="B195" t="s">
        <v>427</v>
      </c>
      <c r="C195" t="s">
        <v>428</v>
      </c>
      <c r="D195" t="s">
        <v>110</v>
      </c>
    </row>
    <row r="196" spans="1:4">
      <c r="A196">
        <f>194</f>
        <v>194</v>
      </c>
      <c r="B196" t="s">
        <v>429</v>
      </c>
      <c r="C196" t="s">
        <v>430</v>
      </c>
      <c r="D196" t="s">
        <v>9</v>
      </c>
    </row>
    <row r="197" spans="1:4">
      <c r="A197">
        <v>196</v>
      </c>
      <c r="B197" t="s">
        <v>431</v>
      </c>
      <c r="C197" t="s">
        <v>432</v>
      </c>
      <c r="D197" t="s">
        <v>86</v>
      </c>
    </row>
    <row r="198" spans="1:4">
      <c r="A198">
        <f>197</f>
        <v>197</v>
      </c>
      <c r="B198" t="s">
        <v>433</v>
      </c>
      <c r="C198" t="s">
        <v>434</v>
      </c>
      <c r="D198" t="s">
        <v>150</v>
      </c>
    </row>
    <row r="199" spans="1:4">
      <c r="A199">
        <f>197</f>
        <v>197</v>
      </c>
      <c r="B199" t="s">
        <v>435</v>
      </c>
      <c r="C199" t="s">
        <v>436</v>
      </c>
      <c r="D199" t="s">
        <v>340</v>
      </c>
    </row>
    <row r="200" spans="1:4">
      <c r="A200">
        <f>199</f>
        <v>199</v>
      </c>
      <c r="B200" t="s">
        <v>437</v>
      </c>
      <c r="C200" t="s">
        <v>438</v>
      </c>
      <c r="D200" t="s">
        <v>9</v>
      </c>
    </row>
    <row r="201" spans="1:4">
      <c r="A201">
        <f>199</f>
        <v>199</v>
      </c>
      <c r="B201" t="s">
        <v>439</v>
      </c>
      <c r="C201" t="s">
        <v>440</v>
      </c>
      <c r="D201" t="s">
        <v>145</v>
      </c>
    </row>
    <row r="202" spans="1:4">
      <c r="A202">
        <v>225</v>
      </c>
      <c r="B202" t="s">
        <v>441</v>
      </c>
      <c r="C202" t="s">
        <v>442</v>
      </c>
      <c r="D202" t="s">
        <v>9</v>
      </c>
    </row>
    <row r="203" spans="1:4">
      <c r="A203">
        <f>251</f>
        <v>251</v>
      </c>
      <c r="B203" t="s">
        <v>443</v>
      </c>
      <c r="C203" t="s">
        <v>444</v>
      </c>
      <c r="D203" t="s">
        <v>9</v>
      </c>
    </row>
    <row r="204" spans="1:4">
      <c r="A204">
        <f>262</f>
        <v>262</v>
      </c>
      <c r="B204" t="s">
        <v>445</v>
      </c>
      <c r="C204" t="s">
        <v>446</v>
      </c>
      <c r="D204" t="s">
        <v>9</v>
      </c>
    </row>
    <row r="205" spans="1:4">
      <c r="A205">
        <f>262</f>
        <v>262</v>
      </c>
      <c r="B205" t="s">
        <v>447</v>
      </c>
      <c r="C205" t="s">
        <v>448</v>
      </c>
      <c r="D205" t="s">
        <v>9</v>
      </c>
    </row>
    <row r="206" spans="1:4">
      <c r="A206">
        <v>278</v>
      </c>
      <c r="B206" t="s">
        <v>449</v>
      </c>
      <c r="C206" t="s">
        <v>450</v>
      </c>
      <c r="D206" t="s">
        <v>9</v>
      </c>
    </row>
    <row r="207" spans="1:4">
      <c r="A207">
        <f>287</f>
        <v>287</v>
      </c>
      <c r="B207" t="s">
        <v>451</v>
      </c>
      <c r="C207" t="s">
        <v>452</v>
      </c>
      <c r="D207" t="s">
        <v>9</v>
      </c>
    </row>
    <row r="208" spans="1:4">
      <c r="A208">
        <v>292</v>
      </c>
      <c r="B208" t="s">
        <v>453</v>
      </c>
      <c r="C208" t="s">
        <v>454</v>
      </c>
      <c r="D208" t="s">
        <v>9</v>
      </c>
    </row>
    <row r="209" spans="1:4">
      <c r="A209">
        <f>310</f>
        <v>310</v>
      </c>
      <c r="B209" t="s">
        <v>455</v>
      </c>
      <c r="C209" t="s">
        <v>456</v>
      </c>
      <c r="D209" t="s">
        <v>9</v>
      </c>
    </row>
    <row r="210" spans="1:4">
      <c r="A210">
        <v>326</v>
      </c>
      <c r="B210" t="s">
        <v>457</v>
      </c>
      <c r="C210" t="s">
        <v>458</v>
      </c>
      <c r="D210" t="s">
        <v>9</v>
      </c>
    </row>
    <row r="211" spans="1:4">
      <c r="A211">
        <v>374</v>
      </c>
      <c r="B211" t="s">
        <v>459</v>
      </c>
      <c r="C211" t="s">
        <v>460</v>
      </c>
      <c r="D211" t="s">
        <v>9</v>
      </c>
    </row>
    <row r="212" spans="1:4">
      <c r="A212">
        <f>381</f>
        <v>381</v>
      </c>
      <c r="B212" t="s">
        <v>461</v>
      </c>
      <c r="C212" t="s">
        <v>462</v>
      </c>
      <c r="D212" t="s">
        <v>9</v>
      </c>
    </row>
    <row r="213" spans="1:4">
      <c r="A213">
        <f>385</f>
        <v>385</v>
      </c>
      <c r="B213" t="s">
        <v>463</v>
      </c>
      <c r="C213" t="s">
        <v>464</v>
      </c>
      <c r="D213" t="s">
        <v>9</v>
      </c>
    </row>
    <row r="214" spans="1:4">
      <c r="A214">
        <f>388</f>
        <v>388</v>
      </c>
      <c r="B214" t="s">
        <v>465</v>
      </c>
      <c r="C214" t="s">
        <v>466</v>
      </c>
      <c r="D214" t="s">
        <v>9</v>
      </c>
    </row>
    <row r="215" spans="1:4">
      <c r="A215">
        <f>395</f>
        <v>395</v>
      </c>
      <c r="B215" t="s">
        <v>467</v>
      </c>
      <c r="C215" t="s">
        <v>468</v>
      </c>
      <c r="D215" t="s">
        <v>9</v>
      </c>
    </row>
    <row r="216" spans="1:4">
      <c r="A216">
        <f>397</f>
        <v>397</v>
      </c>
      <c r="B216" t="s">
        <v>469</v>
      </c>
      <c r="C216" t="s">
        <v>470</v>
      </c>
      <c r="D216" t="s">
        <v>9</v>
      </c>
    </row>
    <row r="217" spans="1:4">
      <c r="A217">
        <f>428</f>
        <v>428</v>
      </c>
      <c r="B217" t="s">
        <v>471</v>
      </c>
      <c r="C217" t="s">
        <v>472</v>
      </c>
      <c r="D217" t="s">
        <v>9</v>
      </c>
    </row>
    <row r="218" spans="1:4">
      <c r="A218">
        <f>456</f>
        <v>456</v>
      </c>
      <c r="B218" t="s">
        <v>473</v>
      </c>
      <c r="C218" t="s">
        <v>474</v>
      </c>
      <c r="D218" t="s">
        <v>9</v>
      </c>
    </row>
    <row r="219" spans="1:4">
      <c r="A219">
        <f>461</f>
        <v>461</v>
      </c>
      <c r="B219" t="s">
        <v>475</v>
      </c>
      <c r="C219" t="s">
        <v>476</v>
      </c>
      <c r="D219" t="s">
        <v>9</v>
      </c>
    </row>
    <row r="220" spans="1:4">
      <c r="A220">
        <f>511</f>
        <v>511</v>
      </c>
      <c r="B220" t="s">
        <v>477</v>
      </c>
      <c r="C220" t="s">
        <v>478</v>
      </c>
      <c r="D220" t="s">
        <v>9</v>
      </c>
    </row>
    <row r="221" spans="1:4">
      <c r="A221">
        <f>511</f>
        <v>511</v>
      </c>
      <c r="B221" t="s">
        <v>479</v>
      </c>
      <c r="C221" t="s">
        <v>480</v>
      </c>
      <c r="D221" t="s">
        <v>9</v>
      </c>
    </row>
    <row r="222" spans="1:4">
      <c r="A222">
        <f>517</f>
        <v>517</v>
      </c>
      <c r="B222" t="s">
        <v>481</v>
      </c>
      <c r="C222" t="s">
        <v>482</v>
      </c>
      <c r="D222" t="s">
        <v>9</v>
      </c>
    </row>
    <row r="223" spans="1:4">
      <c r="A223">
        <v>524</v>
      </c>
      <c r="B223" t="s">
        <v>483</v>
      </c>
      <c r="C223" t="s">
        <v>484</v>
      </c>
      <c r="D223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Lyu</dc:creator>
  <cp:lastModifiedBy>Silvia Lyu</cp:lastModifiedBy>
  <dcterms:created xsi:type="dcterms:W3CDTF">2026-03-02T09:21:00Z</dcterms:created>
  <dcterms:modified xsi:type="dcterms:W3CDTF">2026-03-02T09:44:58Z</dcterms:modified>
</cp:coreProperties>
</file>